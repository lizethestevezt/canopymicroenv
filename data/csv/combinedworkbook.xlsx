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202300"/>
  <mc:AlternateContent xmlns:mc="http://schemas.openxmlformats.org/markup-compatibility/2006">
    <mc:Choice Requires="x15">
      <x15ac:absPath xmlns:x15ac="http://schemas.microsoft.com/office/spreadsheetml/2010/11/ac" url="/Users/lizethestevezt/canopymicroenv/data/csv/"/>
    </mc:Choice>
  </mc:AlternateContent>
  <xr:revisionPtr revIDLastSave="0" documentId="8_{9B592226-52C6-D14E-BA41-16F2B3FF7547}" xr6:coauthVersionLast="47" xr6:coauthVersionMax="47" xr10:uidLastSave="{00000000-0000-0000-0000-000000000000}"/>
  <bookViews>
    <workbookView xWindow="19200" yWindow="620" windowWidth="19220" windowHeight="21000" activeTab="1" xr2:uid="{EE7F45C4-D725-A343-A788-C7006C8F7065}"/>
  </bookViews>
  <sheets>
    <sheet name="combinedv2" sheetId="1" r:id="rId1"/>
    <sheet name="combinedv3" sheetId="3" r:id="rId2"/>
    <sheet name="Sheet1" sheetId="2" r:id="rId3"/>
  </sheets>
  <definedNames>
    <definedName name="_xlnm._FilterDatabase" localSheetId="0" hidden="1">combinedv2!$A$1:$N$123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2" i="1"/>
</calcChain>
</file>

<file path=xl/sharedStrings.xml><?xml version="1.0" encoding="utf-8"?>
<sst xmlns="http://schemas.openxmlformats.org/spreadsheetml/2006/main" count="1520" uniqueCount="240">
  <si>
    <t>Source</t>
  </si>
  <si>
    <t>Area_or_Site</t>
  </si>
  <si>
    <t>lat</t>
  </si>
  <si>
    <t>lon</t>
  </si>
  <si>
    <t>Elevation_m</t>
  </si>
  <si>
    <t>FieldID</t>
  </si>
  <si>
    <t>Abundance</t>
  </si>
  <si>
    <t>Height_m</t>
  </si>
  <si>
    <t>CanopyHeight_m</t>
  </si>
  <si>
    <t>note</t>
  </si>
  <si>
    <t>Genus</t>
  </si>
  <si>
    <t>species</t>
  </si>
  <si>
    <t>datetime</t>
  </si>
  <si>
    <t>Field Observations</t>
  </si>
  <si>
    <t>Maquipucuna</t>
  </si>
  <si>
    <t>NA</t>
  </si>
  <si>
    <t>2026-03-27T11:52:00Z</t>
  </si>
  <si>
    <t>range 2.7-3.6m</t>
  </si>
  <si>
    <t>Maxillaria sp.</t>
  </si>
  <si>
    <t>2026-03-27T12:04:00Z</t>
  </si>
  <si>
    <t>range 1.2-3.0m</t>
  </si>
  <si>
    <t>2026-03-27T12:08:00Z</t>
  </si>
  <si>
    <t>foto 101</t>
  </si>
  <si>
    <t>2026-03-27T12:16:00Z</t>
  </si>
  <si>
    <t>2026-03-27T12:21:00Z</t>
  </si>
  <si>
    <t>range 2.5-3.5m</t>
  </si>
  <si>
    <t>2026-03-27T12:26:00Z</t>
  </si>
  <si>
    <t>range 3.9-4.2m</t>
  </si>
  <si>
    <t>range 3.5-4.4m</t>
  </si>
  <si>
    <t>2026-03-27T12:32:00Z</t>
  </si>
  <si>
    <t>2026-03-27T12:35:00Z</t>
  </si>
  <si>
    <t>range 3.1-7.9m</t>
  </si>
  <si>
    <t>2026-03-27T12:37:00Z</t>
  </si>
  <si>
    <t>foto 127</t>
  </si>
  <si>
    <t>2026-03-27T12:39:00Z</t>
  </si>
  <si>
    <t>2026-03-27T12:42:00Z</t>
  </si>
  <si>
    <t>2026-03-27T12:46:00Z</t>
  </si>
  <si>
    <t>range 2.9-3.7m</t>
  </si>
  <si>
    <t>2026-03-27T12:53:00Z</t>
  </si>
  <si>
    <t>foto 139</t>
  </si>
  <si>
    <t>2026-03-27T12:58:00Z</t>
  </si>
  <si>
    <t>foto 140</t>
  </si>
  <si>
    <t>Maxillaria</t>
  </si>
  <si>
    <t>2026-03-27T15:01:00Z</t>
  </si>
  <si>
    <t>range 3.9-6.8m</t>
  </si>
  <si>
    <t>2026-03-27T15:10:00Z</t>
  </si>
  <si>
    <t>2026-03-27T15:22:00Z</t>
  </si>
  <si>
    <t>foto 171</t>
  </si>
  <si>
    <t>2026-03-27T15:25:00Z</t>
  </si>
  <si>
    <t>foto 17</t>
  </si>
  <si>
    <t>2026-03-27T15:30:00Z</t>
  </si>
  <si>
    <t>foto 174-176</t>
  </si>
  <si>
    <t>2026-03-27T15:33:00Z</t>
  </si>
  <si>
    <t>foto 178</t>
  </si>
  <si>
    <t>foto 179</t>
  </si>
  <si>
    <t>foto 177</t>
  </si>
  <si>
    <t>foto 182</t>
  </si>
  <si>
    <t>foto 183</t>
  </si>
  <si>
    <t>2026-03-27T15:50:00Z</t>
  </si>
  <si>
    <t>foto 185</t>
  </si>
  <si>
    <t>2026-03-27T16:01:00Z</t>
  </si>
  <si>
    <t>2026-03-27T16:06:00Z</t>
  </si>
  <si>
    <t>MiradorMindo</t>
  </si>
  <si>
    <t>2026-03-24T10:55:00Z</t>
  </si>
  <si>
    <t>2026-03-24T11:17:00Z</t>
  </si>
  <si>
    <t>2026-03-24T11:20:00Z</t>
  </si>
  <si>
    <t>2026-03-24T16:11:00Z</t>
  </si>
  <si>
    <t>2026-03-24T16:15:00Z</t>
  </si>
  <si>
    <t>2026-03-24T16:24:00Z</t>
  </si>
  <si>
    <t>2026-03-24T16:38:00Z</t>
  </si>
  <si>
    <t>2026-03-24T16:43:00Z</t>
  </si>
  <si>
    <t>Mashpi</t>
  </si>
  <si>
    <t>foto 246</t>
  </si>
  <si>
    <t>2026-03-28T12:55:00Z</t>
  </si>
  <si>
    <t>2026-03-28T13:01:00Z</t>
  </si>
  <si>
    <t>2026-03-28T13:18:00Z</t>
  </si>
  <si>
    <t>foto 253</t>
  </si>
  <si>
    <t>foto 254</t>
  </si>
  <si>
    <t>foto 255</t>
  </si>
  <si>
    <t>foto 256</t>
  </si>
  <si>
    <t>foto 265</t>
  </si>
  <si>
    <t>2026-03-28T13:46:00Z</t>
  </si>
  <si>
    <t>foto 274</t>
  </si>
  <si>
    <t>2026-03-28T14:01:00Z</t>
  </si>
  <si>
    <t>foto 277</t>
  </si>
  <si>
    <t>2026-03-28T14:08:00Z</t>
  </si>
  <si>
    <t>foto 283-285</t>
  </si>
  <si>
    <t>2026-03-28T14:18:00Z</t>
  </si>
  <si>
    <t>foto 295-297</t>
  </si>
  <si>
    <t>2026-03-28T14:36:00Z</t>
  </si>
  <si>
    <t>foto 302-308</t>
  </si>
  <si>
    <t>2026-03-28T14:59:00Z</t>
  </si>
  <si>
    <t>foto 311</t>
  </si>
  <si>
    <t>2026-03-28T15:08:00Z</t>
  </si>
  <si>
    <t>foto 317</t>
  </si>
  <si>
    <t>2026-03-28T15:13:00Z</t>
  </si>
  <si>
    <t>foto 318-322</t>
  </si>
  <si>
    <t>2026-03-28T15:18:00Z</t>
  </si>
  <si>
    <t>foto 352</t>
  </si>
  <si>
    <t>2026-03-29T08:07:00Z</t>
  </si>
  <si>
    <t>foto 356</t>
  </si>
  <si>
    <t>2026-03-29T08:10:00Z</t>
  </si>
  <si>
    <t>foto 357</t>
  </si>
  <si>
    <t>foto 358-359</t>
  </si>
  <si>
    <t>foto 360-361</t>
  </si>
  <si>
    <t>2026-03-29T08:14:00Z</t>
  </si>
  <si>
    <t>foto 362-368</t>
  </si>
  <si>
    <t>2026-03-29T08:22:00Z</t>
  </si>
  <si>
    <t>foto 369-370</t>
  </si>
  <si>
    <t>2026-03-29T08:26:00Z</t>
  </si>
  <si>
    <t>foto 371-372</t>
  </si>
  <si>
    <t>2026-03-29T08:29:00Z</t>
  </si>
  <si>
    <t>foto 374-375</t>
  </si>
  <si>
    <t>2026-03-29T08:33:00Z</t>
  </si>
  <si>
    <t>foto 379-380</t>
  </si>
  <si>
    <t>2026-03-29T08:42:00Z</t>
  </si>
  <si>
    <t>foto 381</t>
  </si>
  <si>
    <t>foto 389</t>
  </si>
  <si>
    <t>2026-03-29T08:50:00Z</t>
  </si>
  <si>
    <t>foto 386-388</t>
  </si>
  <si>
    <t>foto 390-391</t>
  </si>
  <si>
    <t>2026-03-29T08:58:00Z</t>
  </si>
  <si>
    <t>foto 392</t>
  </si>
  <si>
    <t>foto 393</t>
  </si>
  <si>
    <t>foto 397</t>
  </si>
  <si>
    <t>2026-03-29T09:05:00Z</t>
  </si>
  <si>
    <t>foto 400</t>
  </si>
  <si>
    <t>2026-03-29T09:10:00Z</t>
  </si>
  <si>
    <t>MindoTarabita</t>
  </si>
  <si>
    <t>Real for Pleurothallis at 2.4m h,</t>
  </si>
  <si>
    <t>Pleurothallis</t>
  </si>
  <si>
    <t>2026-03-06T09:59:00Z</t>
  </si>
  <si>
    <t>2026-03-06T10:17:00Z</t>
  </si>
  <si>
    <t>2026-03-06T10:38:00Z</t>
  </si>
  <si>
    <t>Sudamelycaste sp1</t>
  </si>
  <si>
    <t>2026-03-06T10:46:00Z</t>
  </si>
  <si>
    <t>Xylobium</t>
  </si>
  <si>
    <t>2026-03-06T10:58:00Z</t>
  </si>
  <si>
    <t>Sudamelycaste sp.</t>
  </si>
  <si>
    <t>2026-03-06T11:11:00Z</t>
  </si>
  <si>
    <t>2026-03-06T11:31:00Z</t>
  </si>
  <si>
    <t>pleurothallis at 2.4 m height.</t>
  </si>
  <si>
    <t>2026-03-06T09:57:00Z</t>
  </si>
  <si>
    <t>2026-03-06T12:01:00Z</t>
  </si>
  <si>
    <t>sudamerlycaste w flower at 3 m high, 4 individuals</t>
  </si>
  <si>
    <t>2026-03-06T12:06:00Z</t>
  </si>
  <si>
    <t>2026-03-06T12:27:00Z</t>
  </si>
  <si>
    <t>2026-03-06T12:47:00Z</t>
  </si>
  <si>
    <t>2026-03-06T13:03:00Z</t>
  </si>
  <si>
    <t>2026-03-06T13:29:00Z</t>
  </si>
  <si>
    <t>3 xylobium at 3.8 m to 5.7 m high on a treefern of 8.1 high. canopy of higher tree 30 plus.</t>
  </si>
  <si>
    <t>2026-03-06T13:33:00Z</t>
  </si>
  <si>
    <t>2026-03-06T13:44:00Z</t>
  </si>
  <si>
    <t>2026-03-06T13:53:00Z</t>
  </si>
  <si>
    <t>2026-03-06T14:01:00Z</t>
  </si>
  <si>
    <t>2026-03-06T14:04:00Z</t>
  </si>
  <si>
    <t>Yanayacu</t>
  </si>
  <si>
    <t>Ida</t>
  </si>
  <si>
    <t>2026-02-18T16:12:00Z</t>
  </si>
  <si>
    <t>2026-02-18T16:27:00Z</t>
  </si>
  <si>
    <t>2026-02-19T10:07:00Z</t>
  </si>
  <si>
    <t>2026-02-19T11:24:00Z</t>
  </si>
  <si>
    <t>2026-02-19T21:10:00Z</t>
  </si>
  <si>
    <t>Brassia</t>
  </si>
  <si>
    <t>Oncidiinae</t>
  </si>
  <si>
    <t>Trichopilia</t>
  </si>
  <si>
    <t>Epidendrum </t>
  </si>
  <si>
    <t>Epidendrum</t>
  </si>
  <si>
    <t>Scelochilus</t>
  </si>
  <si>
    <t>Chondrorhyncha</t>
  </si>
  <si>
    <t>Oncidium</t>
  </si>
  <si>
    <t>Dichaea</t>
  </si>
  <si>
    <t>Ada</t>
  </si>
  <si>
    <t>Araceae</t>
  </si>
  <si>
    <t>Prosthechea</t>
  </si>
  <si>
    <t>Sobralia</t>
  </si>
  <si>
    <t>Elleanthus</t>
  </si>
  <si>
    <t xml:space="preserve">Scaphyglottis </t>
  </si>
  <si>
    <t>Polystachya</t>
  </si>
  <si>
    <t>concreta</t>
  </si>
  <si>
    <t>arcuigera</t>
  </si>
  <si>
    <t>macroophorum</t>
  </si>
  <si>
    <t>embreei</t>
  </si>
  <si>
    <t>acutifolia</t>
  </si>
  <si>
    <t>ecuadorensis</t>
  </si>
  <si>
    <t>elegantula</t>
  </si>
  <si>
    <t>sp.</t>
  </si>
  <si>
    <t>graminifolius</t>
  </si>
  <si>
    <t>Final_ID</t>
  </si>
  <si>
    <t>Sudamelycaste maybe fimbriata  at 6.2m one big individual with flower and fruit At 7.4m young smaller At 6.2 small At 7.8 super small  Maxillaria sp.1  Between 18 and 26m covering all branches</t>
  </si>
  <si>
    <t>Xylobium sp.1 At 3.1 m big individual At 5.5m smaller individual At 2m smaller individual</t>
  </si>
  <si>
    <t>Sudamelycaste sp.1 At 6m  Maybe the same one At 7.5m</t>
  </si>
  <si>
    <t>Juvenile Sudamelycaste sp..  At 4.7m height</t>
  </si>
  <si>
    <t>sudamerlycaste sp.2 (yellow bigger), flowering. 1 flowering individuals at 11m and 3 individuals (1 flowering) at 13m. tree w 25 m height. At a cecropia nearby (20 m) us a maxillaria similar to epidendrum at 13 m.</t>
  </si>
  <si>
    <t>sudamerlycaste seedling at 3 m hight. canopy aro7nd 15 m. and the maxillaria sp. 1 similar to epidendrum at another tree next to it at around 6 m height.</t>
  </si>
  <si>
    <t>sudamerlycaste sp.2 at 4.5 m, and at a tree next to it a xylobium at 6 m and the maxllaria camaridium sp.2 at 5 m</t>
  </si>
  <si>
    <t>sp1</t>
  </si>
  <si>
    <t>sodiroi</t>
  </si>
  <si>
    <t>Cryptocentrum</t>
  </si>
  <si>
    <t>bradei</t>
  </si>
  <si>
    <t xml:space="preserve"> bradei</t>
  </si>
  <si>
    <t>Sudamelycaste</t>
  </si>
  <si>
    <t>Sudamerlycaste</t>
  </si>
  <si>
    <t>sp2</t>
  </si>
  <si>
    <t>sp. A</t>
  </si>
  <si>
    <t>sp. B</t>
  </si>
  <si>
    <t>sp. C</t>
  </si>
  <si>
    <t>sp. D</t>
  </si>
  <si>
    <t>Maxillariinae genera</t>
  </si>
  <si>
    <t>Anguloa</t>
  </si>
  <si>
    <t>Bifrenaria</t>
  </si>
  <si>
    <t>Lycaste</t>
  </si>
  <si>
    <t>Neomoorea</t>
  </si>
  <si>
    <t>Rudolfiella</t>
  </si>
  <si>
    <t>Scuticaria</t>
  </si>
  <si>
    <t>Teuscheria</t>
  </si>
  <si>
    <t xml:space="preserve">Xylobium </t>
  </si>
  <si>
    <t>Brasiliorchis</t>
  </si>
  <si>
    <t>Camaridium</t>
  </si>
  <si>
    <t>Christensonella</t>
  </si>
  <si>
    <t>Heterotaxis</t>
  </si>
  <si>
    <t>Mapinguari</t>
  </si>
  <si>
    <t>Maxillariella</t>
  </si>
  <si>
    <t>Nitidobulbon</t>
  </si>
  <si>
    <t>Ornithidium</t>
  </si>
  <si>
    <t>Rhetinantha</t>
  </si>
  <si>
    <t>Trigonidium</t>
  </si>
  <si>
    <t>Mormolyca</t>
  </si>
  <si>
    <t>Sauvetrea</t>
  </si>
  <si>
    <t>Maxillaria sp1</t>
  </si>
  <si>
    <t>Maxillaria sp. B</t>
  </si>
  <si>
    <t>Maxillaria acutifolia</t>
  </si>
  <si>
    <t>Maxillaria ecuadorensis</t>
  </si>
  <si>
    <t>Maxillaria sp. A</t>
  </si>
  <si>
    <t>Maxillaria sp. C</t>
  </si>
  <si>
    <t>Maxillaria sp. D</t>
  </si>
  <si>
    <t>Maxillaria bradei</t>
  </si>
  <si>
    <t>Maxillaria  bradei</t>
  </si>
  <si>
    <t>Maxillaria sp2</t>
  </si>
  <si>
    <t>Ida 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</si>
</sst>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006100"/>
      </font>
      <fill>
        <patternFill>
          <bgColor rgb="FFC6EFCE"/>
        </patternFill>
      </fill>
    </dxf>
    <dxf>
      <fill>
        <patternFill patternType="solid">
          <fgColor rgb="FFC6EFCE"/>
          <bgColor rgb="FF000000"/>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B0B11-D1B9-D840-BB7F-5945E7CCF5F1}">
  <sheetPr filterMode="1"/>
  <dimension ref="A1:S123"/>
  <sheetViews>
    <sheetView topLeftCell="I80" workbookViewId="0">
      <selection activeCell="N123" sqref="A1:N123"/>
    </sheetView>
  </sheetViews>
  <sheetFormatPr baseColWidth="10" defaultRowHeight="16" x14ac:dyDescent="0.2"/>
  <cols>
    <col min="11" max="11" width="17.83203125" bestFit="1" customWidth="1"/>
    <col min="12" max="12" width="13.5" bestFit="1" customWidth="1"/>
    <col min="13" max="13" width="23.83203125" bestFit="1" customWidth="1"/>
  </cols>
  <sheetData>
    <row r="1" spans="1:19" x14ac:dyDescent="0.2">
      <c r="A1" t="s">
        <v>0</v>
      </c>
      <c r="B1" t="s">
        <v>1</v>
      </c>
      <c r="C1" t="s">
        <v>2</v>
      </c>
      <c r="D1" t="s">
        <v>3</v>
      </c>
      <c r="E1" t="s">
        <v>4</v>
      </c>
      <c r="F1" t="s">
        <v>5</v>
      </c>
      <c r="G1" t="s">
        <v>6</v>
      </c>
      <c r="H1" t="s">
        <v>7</v>
      </c>
      <c r="I1" t="s">
        <v>8</v>
      </c>
      <c r="J1" t="s">
        <v>9</v>
      </c>
      <c r="K1" t="s">
        <v>10</v>
      </c>
      <c r="L1" t="s">
        <v>11</v>
      </c>
      <c r="M1" t="s">
        <v>188</v>
      </c>
      <c r="N1" t="s">
        <v>12</v>
      </c>
      <c r="Q1" t="s">
        <v>208</v>
      </c>
    </row>
    <row r="2" spans="1:19" hidden="1" x14ac:dyDescent="0.2">
      <c r="A2" t="s">
        <v>13</v>
      </c>
      <c r="B2" t="s">
        <v>14</v>
      </c>
      <c r="C2">
        <v>0.123137</v>
      </c>
      <c r="D2">
        <v>-78.629255999999998</v>
      </c>
      <c r="E2">
        <v>1292</v>
      </c>
      <c r="F2" t="s">
        <v>15</v>
      </c>
      <c r="G2">
        <v>1</v>
      </c>
      <c r="H2">
        <v>6.4</v>
      </c>
      <c r="I2">
        <v>12</v>
      </c>
      <c r="J2" t="s">
        <v>15</v>
      </c>
      <c r="K2" t="s">
        <v>163</v>
      </c>
      <c r="L2" t="s">
        <v>186</v>
      </c>
      <c r="M2" t="str">
        <f>_xlfn.CONCAT(K2," ",L2)</f>
        <v>Brassia sp.</v>
      </c>
      <c r="N2" t="s">
        <v>16</v>
      </c>
      <c r="Q2" t="s">
        <v>209</v>
      </c>
      <c r="S2">
        <f>COUNTIF($Q$2:$Q$26,K2)</f>
        <v>0</v>
      </c>
    </row>
    <row r="3" spans="1:19" hidden="1" x14ac:dyDescent="0.2">
      <c r="A3" t="s">
        <v>13</v>
      </c>
      <c r="B3" t="s">
        <v>14</v>
      </c>
      <c r="C3">
        <v>0.122281</v>
      </c>
      <c r="D3">
        <v>-78.629259000000005</v>
      </c>
      <c r="E3">
        <v>1308</v>
      </c>
      <c r="F3" t="s">
        <v>15</v>
      </c>
      <c r="G3">
        <v>1</v>
      </c>
      <c r="H3">
        <v>3.15</v>
      </c>
      <c r="I3">
        <v>7.1</v>
      </c>
      <c r="J3" t="s">
        <v>17</v>
      </c>
      <c r="K3" t="s">
        <v>178</v>
      </c>
      <c r="L3" t="s">
        <v>179</v>
      </c>
      <c r="M3" t="str">
        <f t="shared" ref="M3:M66" si="0">_xlfn.CONCAT(K3," ",L3)</f>
        <v>Polystachya concreta</v>
      </c>
      <c r="N3" t="s">
        <v>19</v>
      </c>
      <c r="Q3" t="s">
        <v>210</v>
      </c>
      <c r="S3">
        <f t="shared" ref="S3:S66" si="1">COUNTIF($Q$2:$Q$26,K3)</f>
        <v>0</v>
      </c>
    </row>
    <row r="4" spans="1:19" hidden="1" x14ac:dyDescent="0.2">
      <c r="A4" t="s">
        <v>13</v>
      </c>
      <c r="B4" t="s">
        <v>14</v>
      </c>
      <c r="C4">
        <v>0.122072</v>
      </c>
      <c r="D4">
        <v>-78.629322999999999</v>
      </c>
      <c r="E4">
        <v>1310</v>
      </c>
      <c r="F4" t="s">
        <v>15</v>
      </c>
      <c r="G4">
        <v>1</v>
      </c>
      <c r="H4">
        <v>2.1</v>
      </c>
      <c r="I4">
        <v>14.7</v>
      </c>
      <c r="J4" t="s">
        <v>20</v>
      </c>
      <c r="K4" t="s">
        <v>178</v>
      </c>
      <c r="L4" t="s">
        <v>179</v>
      </c>
      <c r="M4" t="str">
        <f t="shared" si="0"/>
        <v>Polystachya concreta</v>
      </c>
      <c r="N4" t="s">
        <v>21</v>
      </c>
      <c r="Q4" t="s">
        <v>157</v>
      </c>
      <c r="S4">
        <f t="shared" si="1"/>
        <v>0</v>
      </c>
    </row>
    <row r="5" spans="1:19" hidden="1" x14ac:dyDescent="0.2">
      <c r="A5" t="s">
        <v>13</v>
      </c>
      <c r="B5" t="s">
        <v>14</v>
      </c>
      <c r="C5">
        <v>0.121695</v>
      </c>
      <c r="D5">
        <v>-78.629609000000002</v>
      </c>
      <c r="E5">
        <v>1321</v>
      </c>
      <c r="F5" t="s">
        <v>15</v>
      </c>
      <c r="G5">
        <v>1</v>
      </c>
      <c r="H5">
        <v>1.4</v>
      </c>
      <c r="I5">
        <v>13</v>
      </c>
      <c r="J5" t="s">
        <v>22</v>
      </c>
      <c r="K5" t="s">
        <v>163</v>
      </c>
      <c r="L5" t="s">
        <v>180</v>
      </c>
      <c r="M5" t="str">
        <f t="shared" si="0"/>
        <v>Brassia arcuigera</v>
      </c>
      <c r="N5" t="s">
        <v>23</v>
      </c>
      <c r="Q5" t="s">
        <v>211</v>
      </c>
      <c r="S5">
        <f t="shared" si="1"/>
        <v>0</v>
      </c>
    </row>
    <row r="6" spans="1:19" hidden="1" x14ac:dyDescent="0.2">
      <c r="A6" t="s">
        <v>13</v>
      </c>
      <c r="B6" t="s">
        <v>14</v>
      </c>
      <c r="C6">
        <v>0.121542</v>
      </c>
      <c r="D6">
        <v>-78.629734999999997</v>
      </c>
      <c r="E6">
        <v>1323</v>
      </c>
      <c r="F6" t="s">
        <v>15</v>
      </c>
      <c r="G6">
        <v>1</v>
      </c>
      <c r="H6">
        <v>2.5</v>
      </c>
      <c r="I6">
        <v>7.7</v>
      </c>
      <c r="J6" t="s">
        <v>22</v>
      </c>
      <c r="K6" t="s">
        <v>165</v>
      </c>
      <c r="L6" t="s">
        <v>186</v>
      </c>
      <c r="M6" t="str">
        <f t="shared" si="0"/>
        <v>Trichopilia sp.</v>
      </c>
      <c r="N6" t="s">
        <v>24</v>
      </c>
      <c r="Q6" t="s">
        <v>42</v>
      </c>
      <c r="S6">
        <f t="shared" si="1"/>
        <v>0</v>
      </c>
    </row>
    <row r="7" spans="1:19" hidden="1" x14ac:dyDescent="0.2">
      <c r="A7" t="s">
        <v>13</v>
      </c>
      <c r="B7" t="s">
        <v>14</v>
      </c>
      <c r="C7">
        <v>0.12149699999999999</v>
      </c>
      <c r="D7">
        <v>-78.629857000000001</v>
      </c>
      <c r="E7">
        <v>1326</v>
      </c>
      <c r="F7" t="s">
        <v>15</v>
      </c>
      <c r="G7">
        <v>1</v>
      </c>
      <c r="H7">
        <v>3</v>
      </c>
      <c r="I7">
        <v>6.8</v>
      </c>
      <c r="J7" t="s">
        <v>25</v>
      </c>
      <c r="K7" t="s">
        <v>163</v>
      </c>
      <c r="L7" t="s">
        <v>186</v>
      </c>
      <c r="M7" t="str">
        <f t="shared" si="0"/>
        <v>Brassia sp.</v>
      </c>
      <c r="N7" t="s">
        <v>26</v>
      </c>
      <c r="Q7" t="s">
        <v>212</v>
      </c>
      <c r="S7">
        <f t="shared" si="1"/>
        <v>0</v>
      </c>
    </row>
    <row r="8" spans="1:19" x14ac:dyDescent="0.2">
      <c r="A8" t="s">
        <v>13</v>
      </c>
      <c r="B8" t="s">
        <v>14</v>
      </c>
      <c r="C8">
        <v>0.12149699999999999</v>
      </c>
      <c r="D8">
        <v>-78.629857000000001</v>
      </c>
      <c r="E8">
        <v>1326</v>
      </c>
      <c r="F8" t="s">
        <v>15</v>
      </c>
      <c r="G8">
        <v>1</v>
      </c>
      <c r="H8">
        <v>4.05</v>
      </c>
      <c r="I8">
        <v>6.8</v>
      </c>
      <c r="J8" t="s">
        <v>27</v>
      </c>
      <c r="K8" t="s">
        <v>42</v>
      </c>
      <c r="L8" t="s">
        <v>196</v>
      </c>
      <c r="M8" t="str">
        <f t="shared" si="0"/>
        <v>Maxillaria sp1</v>
      </c>
      <c r="N8" t="s">
        <v>26</v>
      </c>
      <c r="Q8" t="s">
        <v>213</v>
      </c>
      <c r="S8">
        <f t="shared" si="1"/>
        <v>1</v>
      </c>
    </row>
    <row r="9" spans="1:19" hidden="1" x14ac:dyDescent="0.2">
      <c r="A9" t="s">
        <v>13</v>
      </c>
      <c r="B9" t="s">
        <v>14</v>
      </c>
      <c r="C9">
        <v>0.12127</v>
      </c>
      <c r="D9">
        <v>-78.630188000000004</v>
      </c>
      <c r="E9">
        <v>1329</v>
      </c>
      <c r="F9" t="s">
        <v>15</v>
      </c>
      <c r="G9">
        <v>1</v>
      </c>
      <c r="H9">
        <v>3.95</v>
      </c>
      <c r="I9">
        <v>14</v>
      </c>
      <c r="J9" t="s">
        <v>28</v>
      </c>
      <c r="K9" t="s">
        <v>163</v>
      </c>
      <c r="L9" t="s">
        <v>186</v>
      </c>
      <c r="M9" t="str">
        <f t="shared" si="0"/>
        <v>Brassia sp.</v>
      </c>
      <c r="N9" t="s">
        <v>29</v>
      </c>
      <c r="Q9" t="s">
        <v>214</v>
      </c>
      <c r="S9">
        <f t="shared" si="1"/>
        <v>0</v>
      </c>
    </row>
    <row r="10" spans="1:19" x14ac:dyDescent="0.2">
      <c r="A10" t="s">
        <v>13</v>
      </c>
      <c r="B10" t="s">
        <v>14</v>
      </c>
      <c r="C10">
        <v>0.12131699999999999</v>
      </c>
      <c r="D10">
        <v>-78.630227000000005</v>
      </c>
      <c r="E10">
        <v>1327</v>
      </c>
      <c r="F10" t="s">
        <v>15</v>
      </c>
      <c r="G10">
        <v>1</v>
      </c>
      <c r="H10">
        <v>2.1</v>
      </c>
      <c r="I10">
        <v>16</v>
      </c>
      <c r="J10" t="s">
        <v>15</v>
      </c>
      <c r="K10" t="s">
        <v>42</v>
      </c>
      <c r="L10" t="s">
        <v>196</v>
      </c>
      <c r="M10" t="str">
        <f t="shared" si="0"/>
        <v>Maxillaria sp1</v>
      </c>
      <c r="N10" t="s">
        <v>30</v>
      </c>
      <c r="Q10" t="s">
        <v>215</v>
      </c>
      <c r="S10">
        <f t="shared" si="1"/>
        <v>1</v>
      </c>
    </row>
    <row r="11" spans="1:19" x14ac:dyDescent="0.2">
      <c r="A11" t="s">
        <v>13</v>
      </c>
      <c r="B11" t="s">
        <v>14</v>
      </c>
      <c r="C11">
        <v>0.12137299999999999</v>
      </c>
      <c r="D11">
        <v>-78.630176000000006</v>
      </c>
      <c r="E11">
        <v>1330</v>
      </c>
      <c r="F11" t="s">
        <v>15</v>
      </c>
      <c r="G11">
        <v>1</v>
      </c>
      <c r="H11">
        <v>5.5</v>
      </c>
      <c r="I11">
        <v>16</v>
      </c>
      <c r="J11" t="s">
        <v>31</v>
      </c>
      <c r="K11" t="s">
        <v>42</v>
      </c>
      <c r="L11" t="s">
        <v>196</v>
      </c>
      <c r="M11" t="str">
        <f t="shared" si="0"/>
        <v>Maxillaria sp1</v>
      </c>
      <c r="N11" t="s">
        <v>32</v>
      </c>
      <c r="Q11" t="s">
        <v>216</v>
      </c>
      <c r="S11">
        <f t="shared" si="1"/>
        <v>1</v>
      </c>
    </row>
    <row r="12" spans="1:19" hidden="1" x14ac:dyDescent="0.2">
      <c r="A12" t="s">
        <v>13</v>
      </c>
      <c r="B12" t="s">
        <v>14</v>
      </c>
      <c r="C12">
        <v>0.121243</v>
      </c>
      <c r="D12">
        <v>-78.630373000000006</v>
      </c>
      <c r="E12">
        <v>1331</v>
      </c>
      <c r="F12" t="s">
        <v>15</v>
      </c>
      <c r="G12">
        <v>1</v>
      </c>
      <c r="H12">
        <v>3.2</v>
      </c>
      <c r="I12">
        <v>7.1</v>
      </c>
      <c r="J12" t="s">
        <v>33</v>
      </c>
      <c r="K12" t="s">
        <v>163</v>
      </c>
      <c r="L12" t="s">
        <v>186</v>
      </c>
      <c r="M12" t="str">
        <f t="shared" si="0"/>
        <v>Brassia sp.</v>
      </c>
      <c r="N12" t="s">
        <v>34</v>
      </c>
      <c r="Q12" t="s">
        <v>217</v>
      </c>
      <c r="S12">
        <f t="shared" si="1"/>
        <v>0</v>
      </c>
    </row>
    <row r="13" spans="1:19" hidden="1" x14ac:dyDescent="0.2">
      <c r="A13" t="s">
        <v>13</v>
      </c>
      <c r="B13" t="s">
        <v>14</v>
      </c>
      <c r="C13">
        <v>0.12120400000000001</v>
      </c>
      <c r="D13">
        <v>-78.630375999999998</v>
      </c>
      <c r="E13">
        <v>1328</v>
      </c>
      <c r="F13" t="s">
        <v>15</v>
      </c>
      <c r="G13">
        <v>1</v>
      </c>
      <c r="H13">
        <v>4.8</v>
      </c>
      <c r="I13">
        <v>7.1</v>
      </c>
      <c r="J13" t="s">
        <v>15</v>
      </c>
      <c r="K13" t="s">
        <v>163</v>
      </c>
      <c r="L13" t="s">
        <v>186</v>
      </c>
      <c r="M13" t="str">
        <f t="shared" si="0"/>
        <v>Brassia sp.</v>
      </c>
      <c r="N13" t="s">
        <v>35</v>
      </c>
      <c r="Q13" t="s">
        <v>218</v>
      </c>
      <c r="S13">
        <f t="shared" si="1"/>
        <v>0</v>
      </c>
    </row>
    <row r="14" spans="1:19" hidden="1" x14ac:dyDescent="0.2">
      <c r="A14" t="s">
        <v>13</v>
      </c>
      <c r="B14" t="s">
        <v>14</v>
      </c>
      <c r="C14">
        <v>0.12131599999999999</v>
      </c>
      <c r="D14">
        <v>-78.631043000000005</v>
      </c>
      <c r="E14">
        <v>1326</v>
      </c>
      <c r="F14" t="s">
        <v>15</v>
      </c>
      <c r="G14">
        <v>1</v>
      </c>
      <c r="H14">
        <v>3.9</v>
      </c>
      <c r="I14">
        <v>11.1</v>
      </c>
      <c r="J14" t="s">
        <v>15</v>
      </c>
      <c r="K14" t="s">
        <v>163</v>
      </c>
      <c r="L14" t="s">
        <v>186</v>
      </c>
      <c r="M14" t="str">
        <f t="shared" si="0"/>
        <v>Brassia sp.</v>
      </c>
      <c r="N14" t="s">
        <v>36</v>
      </c>
      <c r="Q14" t="s">
        <v>219</v>
      </c>
      <c r="S14">
        <f t="shared" si="1"/>
        <v>0</v>
      </c>
    </row>
    <row r="15" spans="1:19" hidden="1" x14ac:dyDescent="0.2">
      <c r="A15" t="s">
        <v>13</v>
      </c>
      <c r="B15" t="s">
        <v>14</v>
      </c>
      <c r="C15">
        <v>0.121194</v>
      </c>
      <c r="D15">
        <v>-78.631535</v>
      </c>
      <c r="E15">
        <v>1327</v>
      </c>
      <c r="F15" t="s">
        <v>15</v>
      </c>
      <c r="G15">
        <v>1</v>
      </c>
      <c r="H15">
        <v>3.3</v>
      </c>
      <c r="I15">
        <v>8.3000000000000007</v>
      </c>
      <c r="J15" t="s">
        <v>37</v>
      </c>
      <c r="K15" t="s">
        <v>164</v>
      </c>
      <c r="L15" t="s">
        <v>186</v>
      </c>
      <c r="M15" t="str">
        <f t="shared" si="0"/>
        <v>Oncidiinae sp.</v>
      </c>
      <c r="N15" t="s">
        <v>38</v>
      </c>
      <c r="Q15" t="s">
        <v>220</v>
      </c>
      <c r="S15">
        <f t="shared" si="1"/>
        <v>0</v>
      </c>
    </row>
    <row r="16" spans="1:19" hidden="1" x14ac:dyDescent="0.2">
      <c r="A16" t="s">
        <v>13</v>
      </c>
      <c r="B16" t="s">
        <v>14</v>
      </c>
      <c r="C16">
        <v>0.121182</v>
      </c>
      <c r="D16">
        <v>-78.631641000000002</v>
      </c>
      <c r="E16">
        <v>1329</v>
      </c>
      <c r="F16" t="s">
        <v>15</v>
      </c>
      <c r="G16">
        <v>1</v>
      </c>
      <c r="H16">
        <v>2</v>
      </c>
      <c r="I16">
        <v>14</v>
      </c>
      <c r="J16" t="s">
        <v>39</v>
      </c>
      <c r="K16" t="s">
        <v>165</v>
      </c>
      <c r="L16" t="s">
        <v>186</v>
      </c>
      <c r="M16" t="str">
        <f t="shared" si="0"/>
        <v>Trichopilia sp.</v>
      </c>
      <c r="N16" t="s">
        <v>40</v>
      </c>
      <c r="Q16" t="s">
        <v>221</v>
      </c>
      <c r="S16">
        <f t="shared" si="1"/>
        <v>0</v>
      </c>
    </row>
    <row r="17" spans="1:19" hidden="1" x14ac:dyDescent="0.2">
      <c r="A17" t="s">
        <v>13</v>
      </c>
      <c r="B17" t="s">
        <v>14</v>
      </c>
      <c r="C17">
        <v>0.121182</v>
      </c>
      <c r="D17">
        <v>-78.631641000000002</v>
      </c>
      <c r="E17">
        <v>1329</v>
      </c>
      <c r="F17" t="s">
        <v>15</v>
      </c>
      <c r="G17">
        <v>1</v>
      </c>
      <c r="H17">
        <v>1</v>
      </c>
      <c r="I17">
        <v>14</v>
      </c>
      <c r="J17" t="s">
        <v>41</v>
      </c>
      <c r="K17" t="s">
        <v>166</v>
      </c>
      <c r="L17" t="s">
        <v>186</v>
      </c>
      <c r="M17" t="str">
        <f t="shared" si="0"/>
        <v>Epidendrum  sp.</v>
      </c>
      <c r="N17" t="s">
        <v>40</v>
      </c>
      <c r="Q17" t="s">
        <v>222</v>
      </c>
      <c r="S17">
        <f t="shared" si="1"/>
        <v>0</v>
      </c>
    </row>
    <row r="18" spans="1:19" hidden="1" x14ac:dyDescent="0.2">
      <c r="A18" t="s">
        <v>13</v>
      </c>
      <c r="B18" t="s">
        <v>14</v>
      </c>
      <c r="C18">
        <v>0.120783</v>
      </c>
      <c r="D18">
        <v>-78.632090000000005</v>
      </c>
      <c r="E18">
        <v>1340</v>
      </c>
      <c r="F18" t="s">
        <v>15</v>
      </c>
      <c r="G18">
        <v>1</v>
      </c>
      <c r="H18">
        <v>3.9</v>
      </c>
      <c r="I18">
        <v>18</v>
      </c>
      <c r="J18" t="s">
        <v>15</v>
      </c>
      <c r="K18" t="s">
        <v>166</v>
      </c>
      <c r="L18" t="s">
        <v>186</v>
      </c>
      <c r="M18" t="str">
        <f t="shared" si="0"/>
        <v>Epidendrum  sp.</v>
      </c>
      <c r="N18" t="s">
        <v>43</v>
      </c>
      <c r="Q18" t="s">
        <v>223</v>
      </c>
      <c r="S18">
        <f t="shared" si="1"/>
        <v>0</v>
      </c>
    </row>
    <row r="19" spans="1:19" hidden="1" x14ac:dyDescent="0.2">
      <c r="A19" t="s">
        <v>13</v>
      </c>
      <c r="B19" t="s">
        <v>14</v>
      </c>
      <c r="C19">
        <v>0.12024</v>
      </c>
      <c r="D19">
        <v>-78.632086999999999</v>
      </c>
      <c r="E19">
        <v>1337</v>
      </c>
      <c r="F19" t="s">
        <v>15</v>
      </c>
      <c r="G19">
        <v>1</v>
      </c>
      <c r="H19">
        <v>5.35</v>
      </c>
      <c r="I19">
        <v>17.100000000000001</v>
      </c>
      <c r="J19" t="s">
        <v>44</v>
      </c>
      <c r="K19" t="s">
        <v>167</v>
      </c>
      <c r="L19" t="s">
        <v>181</v>
      </c>
      <c r="M19" t="str">
        <f t="shared" si="0"/>
        <v>Epidendrum macroophorum</v>
      </c>
      <c r="N19" t="s">
        <v>45</v>
      </c>
      <c r="Q19" t="s">
        <v>224</v>
      </c>
      <c r="S19">
        <f t="shared" si="1"/>
        <v>0</v>
      </c>
    </row>
    <row r="20" spans="1:19" hidden="1" x14ac:dyDescent="0.2">
      <c r="A20" t="s">
        <v>13</v>
      </c>
      <c r="B20" t="s">
        <v>14</v>
      </c>
      <c r="C20">
        <v>0.12013</v>
      </c>
      <c r="D20">
        <v>-78.632084000000006</v>
      </c>
      <c r="E20">
        <v>1340</v>
      </c>
      <c r="F20" t="s">
        <v>15</v>
      </c>
      <c r="G20">
        <v>1</v>
      </c>
      <c r="H20">
        <v>12.9</v>
      </c>
      <c r="I20">
        <v>17.100000000000001</v>
      </c>
      <c r="J20" t="s">
        <v>15</v>
      </c>
      <c r="K20" t="s">
        <v>166</v>
      </c>
      <c r="L20" t="s">
        <v>186</v>
      </c>
      <c r="M20" t="str">
        <f t="shared" si="0"/>
        <v>Epidendrum  sp.</v>
      </c>
      <c r="N20" t="s">
        <v>46</v>
      </c>
      <c r="Q20" t="s">
        <v>225</v>
      </c>
      <c r="S20">
        <f t="shared" si="1"/>
        <v>0</v>
      </c>
    </row>
    <row r="21" spans="1:19" hidden="1" x14ac:dyDescent="0.2">
      <c r="A21" t="s">
        <v>13</v>
      </c>
      <c r="B21" t="s">
        <v>14</v>
      </c>
      <c r="C21">
        <v>0.12013</v>
      </c>
      <c r="D21">
        <v>-78.632084000000006</v>
      </c>
      <c r="E21">
        <v>1340</v>
      </c>
      <c r="F21" t="s">
        <v>15</v>
      </c>
      <c r="G21">
        <v>1</v>
      </c>
      <c r="H21">
        <v>5.4</v>
      </c>
      <c r="I21">
        <v>17.100000000000001</v>
      </c>
      <c r="J21" t="s">
        <v>15</v>
      </c>
      <c r="K21" t="s">
        <v>166</v>
      </c>
      <c r="L21" t="s">
        <v>186</v>
      </c>
      <c r="M21" t="str">
        <f t="shared" si="0"/>
        <v>Epidendrum  sp.</v>
      </c>
      <c r="N21" t="s">
        <v>46</v>
      </c>
      <c r="Q21" t="s">
        <v>214</v>
      </c>
      <c r="S21">
        <f t="shared" si="1"/>
        <v>0</v>
      </c>
    </row>
    <row r="22" spans="1:19" hidden="1" x14ac:dyDescent="0.2">
      <c r="A22" t="s">
        <v>13</v>
      </c>
      <c r="B22" t="s">
        <v>14</v>
      </c>
      <c r="C22">
        <v>0.12013</v>
      </c>
      <c r="D22">
        <v>-78.632084000000006</v>
      </c>
      <c r="E22">
        <v>1340</v>
      </c>
      <c r="F22" t="s">
        <v>15</v>
      </c>
      <c r="G22">
        <v>2</v>
      </c>
      <c r="H22">
        <v>12.8</v>
      </c>
      <c r="I22">
        <v>17.100000000000001</v>
      </c>
      <c r="J22" t="s">
        <v>15</v>
      </c>
      <c r="K22" t="s">
        <v>168</v>
      </c>
      <c r="L22" t="s">
        <v>186</v>
      </c>
      <c r="M22" t="str">
        <f t="shared" si="0"/>
        <v>Scelochilus sp.</v>
      </c>
      <c r="N22" t="s">
        <v>46</v>
      </c>
      <c r="Q22" t="s">
        <v>226</v>
      </c>
      <c r="S22">
        <f t="shared" si="1"/>
        <v>0</v>
      </c>
    </row>
    <row r="23" spans="1:19" x14ac:dyDescent="0.2">
      <c r="A23" t="s">
        <v>13</v>
      </c>
      <c r="B23" t="s">
        <v>14</v>
      </c>
      <c r="C23">
        <v>0.120044</v>
      </c>
      <c r="D23">
        <v>-78.632135000000005</v>
      </c>
      <c r="E23">
        <v>1341</v>
      </c>
      <c r="F23" t="s">
        <v>15</v>
      </c>
      <c r="G23">
        <v>1</v>
      </c>
      <c r="H23">
        <v>5.3</v>
      </c>
      <c r="I23">
        <v>14</v>
      </c>
      <c r="J23" t="s">
        <v>47</v>
      </c>
      <c r="K23" t="s">
        <v>42</v>
      </c>
      <c r="L23" t="s">
        <v>205</v>
      </c>
      <c r="M23" t="str">
        <f t="shared" si="0"/>
        <v>Maxillaria sp. B</v>
      </c>
      <c r="N23" t="s">
        <v>48</v>
      </c>
      <c r="Q23" t="s">
        <v>227</v>
      </c>
      <c r="S23">
        <f t="shared" si="1"/>
        <v>1</v>
      </c>
    </row>
    <row r="24" spans="1:19" hidden="1" x14ac:dyDescent="0.2">
      <c r="A24" t="s">
        <v>13</v>
      </c>
      <c r="B24" t="s">
        <v>14</v>
      </c>
      <c r="C24">
        <v>0.11991400000000001</v>
      </c>
      <c r="D24">
        <v>-78.632165000000001</v>
      </c>
      <c r="E24">
        <v>1340</v>
      </c>
      <c r="F24" t="s">
        <v>15</v>
      </c>
      <c r="G24">
        <v>1</v>
      </c>
      <c r="H24">
        <v>14.5</v>
      </c>
      <c r="I24">
        <v>15.4</v>
      </c>
      <c r="J24" t="s">
        <v>49</v>
      </c>
      <c r="K24" t="s">
        <v>165</v>
      </c>
      <c r="L24" t="s">
        <v>186</v>
      </c>
      <c r="M24" t="str">
        <f t="shared" si="0"/>
        <v>Trichopilia sp.</v>
      </c>
      <c r="N24" t="s">
        <v>50</v>
      </c>
      <c r="Q24" t="s">
        <v>201</v>
      </c>
      <c r="S24">
        <f t="shared" si="1"/>
        <v>0</v>
      </c>
    </row>
    <row r="25" spans="1:19" hidden="1" x14ac:dyDescent="0.2">
      <c r="A25" t="s">
        <v>13</v>
      </c>
      <c r="B25" t="s">
        <v>14</v>
      </c>
      <c r="C25">
        <v>0.119953</v>
      </c>
      <c r="D25">
        <v>-78.632248000000004</v>
      </c>
      <c r="E25">
        <v>1342</v>
      </c>
      <c r="F25" t="s">
        <v>15</v>
      </c>
      <c r="G25">
        <v>1</v>
      </c>
      <c r="H25">
        <v>7.8</v>
      </c>
      <c r="I25">
        <v>15.4</v>
      </c>
      <c r="J25" t="s">
        <v>51</v>
      </c>
      <c r="K25" t="s">
        <v>169</v>
      </c>
      <c r="L25" t="s">
        <v>182</v>
      </c>
      <c r="M25" t="str">
        <f t="shared" si="0"/>
        <v>Chondrorhyncha embreei</v>
      </c>
      <c r="N25" t="s">
        <v>52</v>
      </c>
      <c r="Q25" t="s">
        <v>157</v>
      </c>
      <c r="S25">
        <f t="shared" si="1"/>
        <v>0</v>
      </c>
    </row>
    <row r="26" spans="1:19" hidden="1" x14ac:dyDescent="0.2">
      <c r="A26" t="s">
        <v>13</v>
      </c>
      <c r="B26" t="s">
        <v>14</v>
      </c>
      <c r="C26">
        <v>0.119953</v>
      </c>
      <c r="D26">
        <v>-78.632248000000004</v>
      </c>
      <c r="E26">
        <v>1342</v>
      </c>
      <c r="F26" t="s">
        <v>15</v>
      </c>
      <c r="G26">
        <v>1</v>
      </c>
      <c r="H26">
        <v>7.7</v>
      </c>
      <c r="I26">
        <v>15.4</v>
      </c>
      <c r="J26" t="s">
        <v>51</v>
      </c>
      <c r="K26" t="s">
        <v>169</v>
      </c>
      <c r="L26" t="s">
        <v>182</v>
      </c>
      <c r="M26" t="str">
        <f t="shared" si="0"/>
        <v>Chondrorhyncha embreei</v>
      </c>
      <c r="N26" t="s">
        <v>52</v>
      </c>
      <c r="Q26" t="s">
        <v>228</v>
      </c>
      <c r="S26">
        <f t="shared" si="1"/>
        <v>0</v>
      </c>
    </row>
    <row r="27" spans="1:19" x14ac:dyDescent="0.2">
      <c r="A27" t="s">
        <v>13</v>
      </c>
      <c r="B27" t="s">
        <v>14</v>
      </c>
      <c r="C27">
        <v>0.119618</v>
      </c>
      <c r="D27">
        <v>-78.632611999999995</v>
      </c>
      <c r="E27">
        <v>1351</v>
      </c>
      <c r="F27" t="s">
        <v>15</v>
      </c>
      <c r="G27">
        <v>1</v>
      </c>
      <c r="H27">
        <v>5.0999999999999996</v>
      </c>
      <c r="I27">
        <v>16.8</v>
      </c>
      <c r="J27" t="s">
        <v>53</v>
      </c>
      <c r="K27" t="s">
        <v>42</v>
      </c>
      <c r="L27" t="s">
        <v>183</v>
      </c>
      <c r="M27" t="str">
        <f t="shared" si="0"/>
        <v>Maxillaria acutifolia</v>
      </c>
      <c r="N27" t="s">
        <v>52</v>
      </c>
      <c r="S27">
        <f t="shared" si="1"/>
        <v>1</v>
      </c>
    </row>
    <row r="28" spans="1:19" x14ac:dyDescent="0.2">
      <c r="A28" t="s">
        <v>13</v>
      </c>
      <c r="B28" t="s">
        <v>14</v>
      </c>
      <c r="C28">
        <v>0.119618</v>
      </c>
      <c r="D28">
        <v>-78.632611999999995</v>
      </c>
      <c r="E28">
        <v>1351</v>
      </c>
      <c r="F28" t="s">
        <v>15</v>
      </c>
      <c r="G28">
        <v>1</v>
      </c>
      <c r="H28">
        <v>5.4</v>
      </c>
      <c r="I28">
        <v>16.8</v>
      </c>
      <c r="J28" t="s">
        <v>54</v>
      </c>
      <c r="K28" t="s">
        <v>42</v>
      </c>
      <c r="L28" t="s">
        <v>183</v>
      </c>
      <c r="M28" t="str">
        <f t="shared" si="0"/>
        <v>Maxillaria acutifolia</v>
      </c>
      <c r="N28" t="s">
        <v>52</v>
      </c>
      <c r="S28">
        <f t="shared" si="1"/>
        <v>1</v>
      </c>
    </row>
    <row r="29" spans="1:19" hidden="1" x14ac:dyDescent="0.2">
      <c r="A29" t="s">
        <v>13</v>
      </c>
      <c r="B29" t="s">
        <v>14</v>
      </c>
      <c r="C29">
        <v>0.119618</v>
      </c>
      <c r="D29">
        <v>-78.632611999999995</v>
      </c>
      <c r="E29">
        <v>1351</v>
      </c>
      <c r="F29" t="s">
        <v>15</v>
      </c>
      <c r="G29">
        <v>1</v>
      </c>
      <c r="H29">
        <v>7.9</v>
      </c>
      <c r="I29">
        <v>16.8</v>
      </c>
      <c r="J29" t="s">
        <v>55</v>
      </c>
      <c r="K29" t="s">
        <v>165</v>
      </c>
      <c r="L29" t="s">
        <v>186</v>
      </c>
      <c r="M29" t="str">
        <f t="shared" si="0"/>
        <v>Trichopilia sp.</v>
      </c>
      <c r="N29" t="s">
        <v>52</v>
      </c>
      <c r="S29">
        <f t="shared" si="1"/>
        <v>0</v>
      </c>
    </row>
    <row r="30" spans="1:19" x14ac:dyDescent="0.2">
      <c r="A30" t="s">
        <v>13</v>
      </c>
      <c r="B30" t="s">
        <v>14</v>
      </c>
      <c r="C30">
        <v>0.119618</v>
      </c>
      <c r="D30">
        <v>-78.632611999999995</v>
      </c>
      <c r="E30">
        <v>1351</v>
      </c>
      <c r="F30" t="s">
        <v>15</v>
      </c>
      <c r="G30">
        <v>1</v>
      </c>
      <c r="H30">
        <v>2.9</v>
      </c>
      <c r="I30">
        <v>16.8</v>
      </c>
      <c r="J30" t="s">
        <v>56</v>
      </c>
      <c r="K30" t="s">
        <v>42</v>
      </c>
      <c r="L30" t="s">
        <v>205</v>
      </c>
      <c r="M30" t="str">
        <f t="shared" si="0"/>
        <v>Maxillaria sp. B</v>
      </c>
      <c r="N30" t="s">
        <v>52</v>
      </c>
      <c r="S30">
        <f t="shared" si="1"/>
        <v>1</v>
      </c>
    </row>
    <row r="31" spans="1:19" hidden="1" x14ac:dyDescent="0.2">
      <c r="A31" t="s">
        <v>13</v>
      </c>
      <c r="B31" t="s">
        <v>14</v>
      </c>
      <c r="C31">
        <v>0.119523</v>
      </c>
      <c r="D31">
        <v>-78.632762999999997</v>
      </c>
      <c r="E31">
        <v>1352</v>
      </c>
      <c r="F31" t="s">
        <v>15</v>
      </c>
      <c r="G31">
        <v>1</v>
      </c>
      <c r="H31">
        <v>4.0999999999999996</v>
      </c>
      <c r="I31">
        <v>11.6</v>
      </c>
      <c r="J31" t="s">
        <v>57</v>
      </c>
      <c r="K31" t="s">
        <v>163</v>
      </c>
      <c r="L31" t="s">
        <v>186</v>
      </c>
      <c r="M31" t="str">
        <f t="shared" si="0"/>
        <v>Brassia sp.</v>
      </c>
      <c r="N31" t="s">
        <v>58</v>
      </c>
      <c r="S31">
        <f t="shared" si="1"/>
        <v>0</v>
      </c>
    </row>
    <row r="32" spans="1:19" hidden="1" x14ac:dyDescent="0.2">
      <c r="A32" t="s">
        <v>13</v>
      </c>
      <c r="B32" t="s">
        <v>14</v>
      </c>
      <c r="C32">
        <v>0.119339</v>
      </c>
      <c r="D32">
        <v>-78.633345000000006</v>
      </c>
      <c r="E32">
        <v>1357</v>
      </c>
      <c r="F32" t="s">
        <v>15</v>
      </c>
      <c r="G32">
        <v>1</v>
      </c>
      <c r="H32">
        <v>3.1</v>
      </c>
      <c r="I32">
        <v>19</v>
      </c>
      <c r="J32" t="s">
        <v>59</v>
      </c>
      <c r="K32" t="s">
        <v>166</v>
      </c>
      <c r="L32" t="s">
        <v>186</v>
      </c>
      <c r="M32" t="str">
        <f t="shared" si="0"/>
        <v>Epidendrum  sp.</v>
      </c>
      <c r="N32" t="s">
        <v>60</v>
      </c>
      <c r="S32">
        <f t="shared" si="1"/>
        <v>0</v>
      </c>
    </row>
    <row r="33" spans="1:19" hidden="1" x14ac:dyDescent="0.2">
      <c r="A33" t="s">
        <v>13</v>
      </c>
      <c r="B33" t="s">
        <v>14</v>
      </c>
      <c r="C33">
        <v>0.119285</v>
      </c>
      <c r="D33">
        <v>-78.633393999999996</v>
      </c>
      <c r="E33">
        <v>1359</v>
      </c>
      <c r="F33" t="s">
        <v>15</v>
      </c>
      <c r="G33">
        <v>1</v>
      </c>
      <c r="H33">
        <v>2</v>
      </c>
      <c r="I33">
        <v>19</v>
      </c>
      <c r="J33" t="s">
        <v>15</v>
      </c>
      <c r="K33" t="s">
        <v>166</v>
      </c>
      <c r="L33" t="s">
        <v>186</v>
      </c>
      <c r="M33" t="str">
        <f t="shared" si="0"/>
        <v>Epidendrum  sp.</v>
      </c>
      <c r="N33" t="s">
        <v>61</v>
      </c>
      <c r="S33">
        <f t="shared" si="1"/>
        <v>0</v>
      </c>
    </row>
    <row r="34" spans="1:19" hidden="1" x14ac:dyDescent="0.2">
      <c r="A34" t="s">
        <v>13</v>
      </c>
      <c r="B34" t="s">
        <v>62</v>
      </c>
      <c r="C34">
        <v>-2.0174000000000001E-2</v>
      </c>
      <c r="D34">
        <v>-78.761904999999999</v>
      </c>
      <c r="E34">
        <v>1707</v>
      </c>
      <c r="F34" t="s">
        <v>15</v>
      </c>
      <c r="G34">
        <v>1</v>
      </c>
      <c r="H34">
        <v>6</v>
      </c>
      <c r="I34" t="s">
        <v>15</v>
      </c>
      <c r="J34" t="s">
        <v>15</v>
      </c>
      <c r="K34" t="s">
        <v>170</v>
      </c>
      <c r="L34" t="s">
        <v>186</v>
      </c>
      <c r="M34" t="str">
        <f t="shared" si="0"/>
        <v>Oncidium sp.</v>
      </c>
      <c r="N34" t="s">
        <v>63</v>
      </c>
      <c r="S34">
        <f t="shared" si="1"/>
        <v>0</v>
      </c>
    </row>
    <row r="35" spans="1:19" hidden="1" x14ac:dyDescent="0.2">
      <c r="A35" t="s">
        <v>13</v>
      </c>
      <c r="B35" t="s">
        <v>62</v>
      </c>
      <c r="C35">
        <v>-2.0122000000000001E-2</v>
      </c>
      <c r="D35">
        <v>-78.762915000000007</v>
      </c>
      <c r="E35">
        <v>1703</v>
      </c>
      <c r="F35" t="s">
        <v>15</v>
      </c>
      <c r="G35">
        <v>1</v>
      </c>
      <c r="H35">
        <v>2.4</v>
      </c>
      <c r="I35" t="s">
        <v>15</v>
      </c>
      <c r="J35" t="s">
        <v>15</v>
      </c>
      <c r="N35" t="s">
        <v>64</v>
      </c>
      <c r="S35">
        <f t="shared" si="1"/>
        <v>0</v>
      </c>
    </row>
    <row r="36" spans="1:19" hidden="1" x14ac:dyDescent="0.2">
      <c r="A36" t="s">
        <v>13</v>
      </c>
      <c r="B36" t="s">
        <v>62</v>
      </c>
      <c r="C36">
        <v>-2.0413000000000001E-2</v>
      </c>
      <c r="D36">
        <v>-78.763030999999998</v>
      </c>
      <c r="E36">
        <v>1702</v>
      </c>
      <c r="F36" t="s">
        <v>15</v>
      </c>
      <c r="G36">
        <v>1</v>
      </c>
      <c r="H36">
        <v>2.9</v>
      </c>
      <c r="I36" t="s">
        <v>15</v>
      </c>
      <c r="J36" t="s">
        <v>15</v>
      </c>
      <c r="K36" t="s">
        <v>164</v>
      </c>
      <c r="L36" t="s">
        <v>186</v>
      </c>
      <c r="M36" t="str">
        <f t="shared" si="0"/>
        <v>Oncidiinae sp.</v>
      </c>
      <c r="N36" t="s">
        <v>65</v>
      </c>
      <c r="S36">
        <f t="shared" si="1"/>
        <v>0</v>
      </c>
    </row>
    <row r="37" spans="1:19" hidden="1" x14ac:dyDescent="0.2">
      <c r="A37" t="s">
        <v>13</v>
      </c>
      <c r="B37" t="s">
        <v>62</v>
      </c>
      <c r="C37">
        <v>8.5529999999999998E-3</v>
      </c>
      <c r="D37">
        <v>-78.824713000000003</v>
      </c>
      <c r="E37">
        <v>1276</v>
      </c>
      <c r="F37" t="s">
        <v>15</v>
      </c>
      <c r="G37">
        <v>1</v>
      </c>
      <c r="H37">
        <v>4</v>
      </c>
      <c r="I37" t="s">
        <v>15</v>
      </c>
      <c r="J37" t="s">
        <v>15</v>
      </c>
      <c r="K37" t="s">
        <v>164</v>
      </c>
      <c r="L37" t="s">
        <v>186</v>
      </c>
      <c r="M37" t="str">
        <f t="shared" si="0"/>
        <v>Oncidiinae sp.</v>
      </c>
      <c r="N37" t="s">
        <v>66</v>
      </c>
      <c r="S37">
        <f t="shared" si="1"/>
        <v>0</v>
      </c>
    </row>
    <row r="38" spans="1:19" hidden="1" x14ac:dyDescent="0.2">
      <c r="A38" t="s">
        <v>13</v>
      </c>
      <c r="B38" t="s">
        <v>62</v>
      </c>
      <c r="C38">
        <v>8.6409999999999994E-3</v>
      </c>
      <c r="D38">
        <v>-78.824511000000001</v>
      </c>
      <c r="E38">
        <v>1283</v>
      </c>
      <c r="F38" t="s">
        <v>15</v>
      </c>
      <c r="G38">
        <v>1</v>
      </c>
      <c r="H38">
        <v>7.6</v>
      </c>
      <c r="I38" t="s">
        <v>15</v>
      </c>
      <c r="J38" t="s">
        <v>15</v>
      </c>
      <c r="M38" t="str">
        <f t="shared" si="0"/>
        <v xml:space="preserve"> </v>
      </c>
      <c r="N38" t="s">
        <v>67</v>
      </c>
      <c r="S38">
        <f t="shared" si="1"/>
        <v>0</v>
      </c>
    </row>
    <row r="39" spans="1:19" x14ac:dyDescent="0.2">
      <c r="A39" t="s">
        <v>13</v>
      </c>
      <c r="B39" t="s">
        <v>62</v>
      </c>
      <c r="C39">
        <v>8.9339999999999992E-3</v>
      </c>
      <c r="D39">
        <v>-78.824791000000005</v>
      </c>
      <c r="E39">
        <v>1289</v>
      </c>
      <c r="F39" t="s">
        <v>15</v>
      </c>
      <c r="G39">
        <v>1</v>
      </c>
      <c r="H39">
        <v>6.5</v>
      </c>
      <c r="I39" t="s">
        <v>15</v>
      </c>
      <c r="J39" t="s">
        <v>15</v>
      </c>
      <c r="K39" t="s">
        <v>42</v>
      </c>
      <c r="L39" t="s">
        <v>183</v>
      </c>
      <c r="M39" t="str">
        <f t="shared" si="0"/>
        <v>Maxillaria acutifolia</v>
      </c>
      <c r="N39" t="s">
        <v>68</v>
      </c>
      <c r="S39">
        <f t="shared" si="1"/>
        <v>1</v>
      </c>
    </row>
    <row r="40" spans="1:19" hidden="1" x14ac:dyDescent="0.2">
      <c r="A40" t="s">
        <v>13</v>
      </c>
      <c r="B40" t="s">
        <v>62</v>
      </c>
      <c r="C40">
        <v>9.8320000000000005E-3</v>
      </c>
      <c r="D40">
        <v>-78.824754999999996</v>
      </c>
      <c r="E40">
        <v>1327</v>
      </c>
      <c r="F40" t="s">
        <v>15</v>
      </c>
      <c r="G40">
        <v>1</v>
      </c>
      <c r="H40">
        <v>3.3</v>
      </c>
      <c r="I40" t="s">
        <v>15</v>
      </c>
      <c r="J40" t="s">
        <v>15</v>
      </c>
      <c r="K40" t="s">
        <v>171</v>
      </c>
      <c r="L40" t="s">
        <v>197</v>
      </c>
      <c r="M40" t="str">
        <f t="shared" si="0"/>
        <v>Dichaea sodiroi</v>
      </c>
      <c r="N40" t="s">
        <v>69</v>
      </c>
      <c r="S40">
        <f t="shared" si="1"/>
        <v>0</v>
      </c>
    </row>
    <row r="41" spans="1:19" x14ac:dyDescent="0.2">
      <c r="A41" t="s">
        <v>13</v>
      </c>
      <c r="B41" t="s">
        <v>62</v>
      </c>
      <c r="C41">
        <v>9.9290000000000003E-3</v>
      </c>
      <c r="D41">
        <v>-78.824687999999995</v>
      </c>
      <c r="E41">
        <v>1337</v>
      </c>
      <c r="F41" t="s">
        <v>15</v>
      </c>
      <c r="G41">
        <v>1</v>
      </c>
      <c r="H41">
        <v>2.8</v>
      </c>
      <c r="I41" t="s">
        <v>15</v>
      </c>
      <c r="J41" t="s">
        <v>15</v>
      </c>
      <c r="K41" t="s">
        <v>42</v>
      </c>
      <c r="L41" t="s">
        <v>184</v>
      </c>
      <c r="M41" t="str">
        <f t="shared" si="0"/>
        <v>Maxillaria ecuadorensis</v>
      </c>
      <c r="N41" t="s">
        <v>70</v>
      </c>
      <c r="S41">
        <f t="shared" si="1"/>
        <v>1</v>
      </c>
    </row>
    <row r="42" spans="1:19" hidden="1" x14ac:dyDescent="0.2">
      <c r="A42" t="s">
        <v>13</v>
      </c>
      <c r="B42" t="s">
        <v>71</v>
      </c>
      <c r="C42">
        <v>0.16589400000000001</v>
      </c>
      <c r="D42">
        <v>-78.878003000000007</v>
      </c>
      <c r="E42">
        <v>926</v>
      </c>
      <c r="F42" t="s">
        <v>15</v>
      </c>
      <c r="G42">
        <v>1</v>
      </c>
      <c r="H42">
        <v>5.9</v>
      </c>
      <c r="I42">
        <v>15</v>
      </c>
      <c r="J42" t="s">
        <v>72</v>
      </c>
      <c r="K42" t="s">
        <v>172</v>
      </c>
      <c r="L42" t="s">
        <v>185</v>
      </c>
      <c r="M42" t="str">
        <f t="shared" si="0"/>
        <v>Ada elegantula</v>
      </c>
      <c r="N42" t="s">
        <v>73</v>
      </c>
      <c r="S42">
        <f t="shared" si="1"/>
        <v>0</v>
      </c>
    </row>
    <row r="43" spans="1:19" x14ac:dyDescent="0.2">
      <c r="A43" t="s">
        <v>13</v>
      </c>
      <c r="B43" t="s">
        <v>71</v>
      </c>
      <c r="C43">
        <v>0.165851</v>
      </c>
      <c r="D43">
        <v>-78.878045999999998</v>
      </c>
      <c r="E43">
        <v>923</v>
      </c>
      <c r="F43" t="s">
        <v>15</v>
      </c>
      <c r="G43">
        <v>1</v>
      </c>
      <c r="H43">
        <v>6.3</v>
      </c>
      <c r="I43">
        <v>15</v>
      </c>
      <c r="J43" t="s">
        <v>15</v>
      </c>
      <c r="K43" t="s">
        <v>42</v>
      </c>
      <c r="L43" t="s">
        <v>186</v>
      </c>
      <c r="M43" t="str">
        <f t="shared" si="0"/>
        <v>Maxillaria sp.</v>
      </c>
      <c r="N43" t="s">
        <v>74</v>
      </c>
      <c r="S43">
        <f t="shared" si="1"/>
        <v>1</v>
      </c>
    </row>
    <row r="44" spans="1:19" hidden="1" x14ac:dyDescent="0.2">
      <c r="A44" t="s">
        <v>13</v>
      </c>
      <c r="B44" t="s">
        <v>71</v>
      </c>
      <c r="C44">
        <v>0.16595799999999999</v>
      </c>
      <c r="D44">
        <v>-78.877973999999995</v>
      </c>
      <c r="E44">
        <v>922</v>
      </c>
      <c r="F44" t="s">
        <v>15</v>
      </c>
      <c r="G44" t="s">
        <v>15</v>
      </c>
      <c r="H44" t="s">
        <v>15</v>
      </c>
      <c r="I44" t="s">
        <v>15</v>
      </c>
      <c r="J44" t="s">
        <v>15</v>
      </c>
      <c r="K44" t="s">
        <v>198</v>
      </c>
      <c r="L44" t="s">
        <v>186</v>
      </c>
      <c r="M44" t="str">
        <f t="shared" si="0"/>
        <v>Cryptocentrum sp.</v>
      </c>
      <c r="N44" t="s">
        <v>75</v>
      </c>
      <c r="S44">
        <f t="shared" si="1"/>
        <v>0</v>
      </c>
    </row>
    <row r="45" spans="1:19" x14ac:dyDescent="0.2">
      <c r="A45" t="s">
        <v>13</v>
      </c>
      <c r="B45" t="s">
        <v>71</v>
      </c>
      <c r="C45">
        <v>0.16574800000000001</v>
      </c>
      <c r="D45">
        <v>-78.878091999999995</v>
      </c>
      <c r="E45">
        <v>923</v>
      </c>
      <c r="F45" t="s">
        <v>15</v>
      </c>
      <c r="G45">
        <v>1</v>
      </c>
      <c r="H45">
        <v>15.3</v>
      </c>
      <c r="I45">
        <v>22</v>
      </c>
      <c r="J45" t="s">
        <v>76</v>
      </c>
      <c r="K45" t="s">
        <v>42</v>
      </c>
      <c r="L45" t="s">
        <v>186</v>
      </c>
      <c r="M45" t="str">
        <f t="shared" si="0"/>
        <v>Maxillaria sp.</v>
      </c>
      <c r="N45" t="s">
        <v>75</v>
      </c>
      <c r="S45">
        <f t="shared" si="1"/>
        <v>1</v>
      </c>
    </row>
    <row r="46" spans="1:19" x14ac:dyDescent="0.2">
      <c r="A46" t="s">
        <v>13</v>
      </c>
      <c r="B46" t="s">
        <v>71</v>
      </c>
      <c r="C46">
        <v>0.16574800000000001</v>
      </c>
      <c r="D46">
        <v>-78.878091999999995</v>
      </c>
      <c r="E46">
        <v>923</v>
      </c>
      <c r="F46" t="s">
        <v>15</v>
      </c>
      <c r="G46">
        <v>1</v>
      </c>
      <c r="H46">
        <v>15.4</v>
      </c>
      <c r="I46">
        <v>22</v>
      </c>
      <c r="J46" t="s">
        <v>77</v>
      </c>
      <c r="K46" t="s">
        <v>42</v>
      </c>
      <c r="L46" t="s">
        <v>186</v>
      </c>
      <c r="M46" t="str">
        <f t="shared" si="0"/>
        <v>Maxillaria sp.</v>
      </c>
      <c r="N46" t="s">
        <v>75</v>
      </c>
      <c r="S46">
        <f t="shared" si="1"/>
        <v>1</v>
      </c>
    </row>
    <row r="47" spans="1:19" hidden="1" x14ac:dyDescent="0.2">
      <c r="A47" t="s">
        <v>13</v>
      </c>
      <c r="B47" t="s">
        <v>71</v>
      </c>
      <c r="C47">
        <v>0.16574800000000001</v>
      </c>
      <c r="D47">
        <v>-78.878091999999995</v>
      </c>
      <c r="E47">
        <v>923</v>
      </c>
      <c r="F47" t="s">
        <v>15</v>
      </c>
      <c r="G47">
        <v>1</v>
      </c>
      <c r="H47">
        <v>16.3</v>
      </c>
      <c r="I47">
        <v>22</v>
      </c>
      <c r="J47" t="s">
        <v>78</v>
      </c>
      <c r="K47" t="s">
        <v>164</v>
      </c>
      <c r="L47" t="s">
        <v>186</v>
      </c>
      <c r="M47" t="str">
        <f t="shared" si="0"/>
        <v>Oncidiinae sp.</v>
      </c>
      <c r="N47" t="s">
        <v>75</v>
      </c>
      <c r="S47">
        <f t="shared" si="1"/>
        <v>0</v>
      </c>
    </row>
    <row r="48" spans="1:19" hidden="1" x14ac:dyDescent="0.2">
      <c r="A48" t="s">
        <v>13</v>
      </c>
      <c r="B48" t="s">
        <v>71</v>
      </c>
      <c r="C48">
        <v>0.16574800000000001</v>
      </c>
      <c r="D48">
        <v>-78.878091999999995</v>
      </c>
      <c r="E48">
        <v>923</v>
      </c>
      <c r="F48" t="s">
        <v>15</v>
      </c>
      <c r="G48">
        <v>1</v>
      </c>
      <c r="H48">
        <v>13.5</v>
      </c>
      <c r="I48">
        <v>22</v>
      </c>
      <c r="J48" t="s">
        <v>79</v>
      </c>
      <c r="K48" t="s">
        <v>173</v>
      </c>
      <c r="M48" t="str">
        <f t="shared" si="0"/>
        <v xml:space="preserve">Araceae </v>
      </c>
      <c r="N48" t="s">
        <v>75</v>
      </c>
      <c r="S48">
        <f t="shared" si="1"/>
        <v>0</v>
      </c>
    </row>
    <row r="49" spans="1:19" hidden="1" x14ac:dyDescent="0.2">
      <c r="A49" t="s">
        <v>13</v>
      </c>
      <c r="B49" t="s">
        <v>71</v>
      </c>
      <c r="C49">
        <v>0.166076</v>
      </c>
      <c r="D49">
        <v>-78.877815999999996</v>
      </c>
      <c r="E49">
        <v>927</v>
      </c>
      <c r="F49" t="s">
        <v>15</v>
      </c>
      <c r="G49">
        <v>1</v>
      </c>
      <c r="H49">
        <v>6.3</v>
      </c>
      <c r="I49">
        <v>20.5</v>
      </c>
      <c r="J49" t="s">
        <v>80</v>
      </c>
      <c r="K49" t="s">
        <v>174</v>
      </c>
      <c r="L49" t="s">
        <v>186</v>
      </c>
      <c r="M49" t="str">
        <f t="shared" si="0"/>
        <v>Prosthechea sp.</v>
      </c>
      <c r="N49" t="s">
        <v>81</v>
      </c>
      <c r="S49">
        <f t="shared" si="1"/>
        <v>0</v>
      </c>
    </row>
    <row r="50" spans="1:19" hidden="1" x14ac:dyDescent="0.2">
      <c r="A50" t="s">
        <v>13</v>
      </c>
      <c r="B50" t="s">
        <v>71</v>
      </c>
      <c r="C50">
        <v>0.166183</v>
      </c>
      <c r="D50">
        <v>-78.877786</v>
      </c>
      <c r="E50">
        <v>928</v>
      </c>
      <c r="F50" t="s">
        <v>15</v>
      </c>
      <c r="G50">
        <v>1</v>
      </c>
      <c r="H50">
        <v>11.9</v>
      </c>
      <c r="I50">
        <v>17.600000000000001</v>
      </c>
      <c r="J50" t="s">
        <v>82</v>
      </c>
      <c r="K50" t="s">
        <v>166</v>
      </c>
      <c r="L50" t="s">
        <v>186</v>
      </c>
      <c r="M50" t="str">
        <f t="shared" si="0"/>
        <v>Epidendrum  sp.</v>
      </c>
      <c r="N50" t="s">
        <v>83</v>
      </c>
      <c r="S50">
        <f t="shared" si="1"/>
        <v>0</v>
      </c>
    </row>
    <row r="51" spans="1:19" hidden="1" x14ac:dyDescent="0.2">
      <c r="A51" t="s">
        <v>13</v>
      </c>
      <c r="B51" t="s">
        <v>71</v>
      </c>
      <c r="C51">
        <v>0.16617799999999999</v>
      </c>
      <c r="D51">
        <v>-78.877736999999996</v>
      </c>
      <c r="E51">
        <v>925</v>
      </c>
      <c r="F51" t="s">
        <v>15</v>
      </c>
      <c r="G51">
        <v>1</v>
      </c>
      <c r="H51">
        <v>8.4</v>
      </c>
      <c r="I51">
        <v>16.399999999999999</v>
      </c>
      <c r="J51" t="s">
        <v>84</v>
      </c>
      <c r="K51" t="s">
        <v>175</v>
      </c>
      <c r="L51" t="s">
        <v>186</v>
      </c>
      <c r="M51" t="str">
        <f t="shared" si="0"/>
        <v>Sobralia sp.</v>
      </c>
      <c r="N51" t="s">
        <v>85</v>
      </c>
      <c r="S51">
        <f t="shared" si="1"/>
        <v>0</v>
      </c>
    </row>
    <row r="52" spans="1:19" x14ac:dyDescent="0.2">
      <c r="A52" t="s">
        <v>13</v>
      </c>
      <c r="B52" t="s">
        <v>71</v>
      </c>
      <c r="C52">
        <v>0.16652900000000001</v>
      </c>
      <c r="D52">
        <v>-78.877121000000002</v>
      </c>
      <c r="E52">
        <v>950</v>
      </c>
      <c r="F52" t="s">
        <v>15</v>
      </c>
      <c r="G52">
        <v>1</v>
      </c>
      <c r="H52">
        <v>9.1</v>
      </c>
      <c r="I52">
        <v>14.6</v>
      </c>
      <c r="J52" t="s">
        <v>86</v>
      </c>
      <c r="K52" t="s">
        <v>42</v>
      </c>
      <c r="L52" t="s">
        <v>204</v>
      </c>
      <c r="M52" t="str">
        <f t="shared" si="0"/>
        <v>Maxillaria sp. A</v>
      </c>
      <c r="N52" t="s">
        <v>87</v>
      </c>
      <c r="S52">
        <f t="shared" si="1"/>
        <v>1</v>
      </c>
    </row>
    <row r="53" spans="1:19" x14ac:dyDescent="0.2">
      <c r="A53" t="s">
        <v>13</v>
      </c>
      <c r="B53" t="s">
        <v>71</v>
      </c>
      <c r="C53">
        <v>0.166384</v>
      </c>
      <c r="D53">
        <v>-78.875797000000006</v>
      </c>
      <c r="E53">
        <v>985</v>
      </c>
      <c r="F53" t="s">
        <v>15</v>
      </c>
      <c r="G53">
        <v>1</v>
      </c>
      <c r="H53">
        <v>17</v>
      </c>
      <c r="I53" t="s">
        <v>15</v>
      </c>
      <c r="J53" t="s">
        <v>88</v>
      </c>
      <c r="K53" t="s">
        <v>42</v>
      </c>
      <c r="L53" t="s">
        <v>206</v>
      </c>
      <c r="M53" t="str">
        <f t="shared" si="0"/>
        <v>Maxillaria sp. C</v>
      </c>
      <c r="N53" t="s">
        <v>89</v>
      </c>
      <c r="S53">
        <f t="shared" si="1"/>
        <v>1</v>
      </c>
    </row>
    <row r="54" spans="1:19" hidden="1" x14ac:dyDescent="0.2">
      <c r="A54" t="s">
        <v>13</v>
      </c>
      <c r="B54" t="s">
        <v>71</v>
      </c>
      <c r="C54">
        <v>0.16635800000000001</v>
      </c>
      <c r="D54">
        <v>-78.873476999999994</v>
      </c>
      <c r="E54">
        <v>1001</v>
      </c>
      <c r="F54" t="s">
        <v>15</v>
      </c>
      <c r="G54">
        <v>1</v>
      </c>
      <c r="H54">
        <v>4.0999999999999996</v>
      </c>
      <c r="I54">
        <v>19</v>
      </c>
      <c r="J54" t="s">
        <v>90</v>
      </c>
      <c r="K54" t="s">
        <v>166</v>
      </c>
      <c r="L54" t="s">
        <v>186</v>
      </c>
      <c r="M54" t="str">
        <f t="shared" si="0"/>
        <v>Epidendrum  sp.</v>
      </c>
      <c r="N54" t="s">
        <v>91</v>
      </c>
      <c r="S54">
        <f t="shared" si="1"/>
        <v>0</v>
      </c>
    </row>
    <row r="55" spans="1:19" x14ac:dyDescent="0.2">
      <c r="A55" t="s">
        <v>13</v>
      </c>
      <c r="B55" t="s">
        <v>71</v>
      </c>
      <c r="C55">
        <v>0.165662</v>
      </c>
      <c r="D55">
        <v>-78.873239999999996</v>
      </c>
      <c r="E55">
        <v>999</v>
      </c>
      <c r="F55" t="s">
        <v>15</v>
      </c>
      <c r="G55">
        <v>1</v>
      </c>
      <c r="H55">
        <v>15.9</v>
      </c>
      <c r="I55" t="s">
        <v>15</v>
      </c>
      <c r="J55" t="s">
        <v>92</v>
      </c>
      <c r="K55" t="s">
        <v>42</v>
      </c>
      <c r="L55" t="s">
        <v>207</v>
      </c>
      <c r="M55" t="str">
        <f t="shared" si="0"/>
        <v>Maxillaria sp. D</v>
      </c>
      <c r="N55" t="s">
        <v>93</v>
      </c>
      <c r="S55">
        <f t="shared" si="1"/>
        <v>1</v>
      </c>
    </row>
    <row r="56" spans="1:19" hidden="1" x14ac:dyDescent="0.2">
      <c r="A56" t="s">
        <v>13</v>
      </c>
      <c r="B56" t="s">
        <v>71</v>
      </c>
      <c r="C56">
        <v>0.165772</v>
      </c>
      <c r="D56">
        <v>-78.872923</v>
      </c>
      <c r="E56">
        <v>1004</v>
      </c>
      <c r="F56" t="s">
        <v>15</v>
      </c>
      <c r="G56">
        <v>1</v>
      </c>
      <c r="H56">
        <v>14.7</v>
      </c>
      <c r="I56">
        <v>17.8</v>
      </c>
      <c r="J56" t="s">
        <v>94</v>
      </c>
      <c r="K56" t="s">
        <v>176</v>
      </c>
      <c r="L56" t="s">
        <v>187</v>
      </c>
      <c r="M56" t="str">
        <f t="shared" si="0"/>
        <v>Elleanthus graminifolius</v>
      </c>
      <c r="N56" t="s">
        <v>95</v>
      </c>
      <c r="S56">
        <f t="shared" si="1"/>
        <v>0</v>
      </c>
    </row>
    <row r="57" spans="1:19" hidden="1" x14ac:dyDescent="0.2">
      <c r="A57" t="s">
        <v>13</v>
      </c>
      <c r="B57" t="s">
        <v>71</v>
      </c>
      <c r="C57">
        <v>0.16583200000000001</v>
      </c>
      <c r="D57">
        <v>-78.872708000000003</v>
      </c>
      <c r="E57">
        <v>1007</v>
      </c>
      <c r="F57" t="s">
        <v>15</v>
      </c>
      <c r="G57">
        <v>1</v>
      </c>
      <c r="H57">
        <v>17.2</v>
      </c>
      <c r="I57" t="s">
        <v>15</v>
      </c>
      <c r="J57" t="s">
        <v>96</v>
      </c>
      <c r="K57" t="s">
        <v>177</v>
      </c>
      <c r="L57" t="s">
        <v>186</v>
      </c>
      <c r="M57" t="str">
        <f t="shared" si="0"/>
        <v>Scaphyglottis  sp.</v>
      </c>
      <c r="N57" t="s">
        <v>97</v>
      </c>
      <c r="S57">
        <f t="shared" si="1"/>
        <v>0</v>
      </c>
    </row>
    <row r="58" spans="1:19" x14ac:dyDescent="0.2">
      <c r="A58" t="s">
        <v>13</v>
      </c>
      <c r="B58" t="s">
        <v>71</v>
      </c>
      <c r="C58">
        <v>0.166488</v>
      </c>
      <c r="D58">
        <v>-78.880054999999999</v>
      </c>
      <c r="E58">
        <v>912</v>
      </c>
      <c r="F58" t="s">
        <v>15</v>
      </c>
      <c r="G58">
        <v>1</v>
      </c>
      <c r="H58">
        <v>8.8000000000000007</v>
      </c>
      <c r="I58">
        <v>20.7</v>
      </c>
      <c r="J58" t="s">
        <v>98</v>
      </c>
      <c r="K58" t="s">
        <v>42</v>
      </c>
      <c r="L58" t="s">
        <v>199</v>
      </c>
      <c r="M58" t="str">
        <f t="shared" si="0"/>
        <v>Maxillaria bradei</v>
      </c>
      <c r="N58" t="s">
        <v>99</v>
      </c>
      <c r="S58">
        <f t="shared" si="1"/>
        <v>1</v>
      </c>
    </row>
    <row r="59" spans="1:19" x14ac:dyDescent="0.2">
      <c r="A59" t="s">
        <v>13</v>
      </c>
      <c r="B59" t="s">
        <v>71</v>
      </c>
      <c r="C59">
        <v>0.16653699999999999</v>
      </c>
      <c r="D59">
        <v>-78.880078999999995</v>
      </c>
      <c r="E59">
        <v>915</v>
      </c>
      <c r="F59" t="s">
        <v>15</v>
      </c>
      <c r="G59">
        <v>1</v>
      </c>
      <c r="H59">
        <v>8.9</v>
      </c>
      <c r="I59">
        <v>10.6</v>
      </c>
      <c r="J59" t="s">
        <v>100</v>
      </c>
      <c r="K59" t="s">
        <v>42</v>
      </c>
      <c r="L59" t="s">
        <v>205</v>
      </c>
      <c r="M59" t="str">
        <f t="shared" si="0"/>
        <v>Maxillaria sp. B</v>
      </c>
      <c r="N59" t="s">
        <v>101</v>
      </c>
      <c r="S59">
        <f t="shared" si="1"/>
        <v>1</v>
      </c>
    </row>
    <row r="60" spans="1:19" x14ac:dyDescent="0.2">
      <c r="A60" t="s">
        <v>13</v>
      </c>
      <c r="B60" t="s">
        <v>71</v>
      </c>
      <c r="C60">
        <v>0.16653699999999999</v>
      </c>
      <c r="D60">
        <v>-78.880078999999995</v>
      </c>
      <c r="E60">
        <v>915</v>
      </c>
      <c r="F60" t="s">
        <v>15</v>
      </c>
      <c r="G60">
        <v>1</v>
      </c>
      <c r="H60">
        <v>8.4</v>
      </c>
      <c r="I60">
        <v>10.6</v>
      </c>
      <c r="J60" t="s">
        <v>102</v>
      </c>
      <c r="K60" t="s">
        <v>42</v>
      </c>
      <c r="L60" t="s">
        <v>206</v>
      </c>
      <c r="M60" t="str">
        <f t="shared" si="0"/>
        <v>Maxillaria sp. C</v>
      </c>
      <c r="N60" t="s">
        <v>101</v>
      </c>
      <c r="S60">
        <f t="shared" si="1"/>
        <v>1</v>
      </c>
    </row>
    <row r="61" spans="1:19" x14ac:dyDescent="0.2">
      <c r="A61" t="s">
        <v>13</v>
      </c>
      <c r="B61" t="s">
        <v>71</v>
      </c>
      <c r="C61">
        <v>0.16653699999999999</v>
      </c>
      <c r="D61">
        <v>-78.880078999999995</v>
      </c>
      <c r="E61">
        <v>915</v>
      </c>
      <c r="F61" t="s">
        <v>15</v>
      </c>
      <c r="G61">
        <v>1</v>
      </c>
      <c r="H61">
        <v>9.5</v>
      </c>
      <c r="I61">
        <v>10.6</v>
      </c>
      <c r="J61" t="s">
        <v>103</v>
      </c>
      <c r="K61" t="s">
        <v>42</v>
      </c>
      <c r="L61" t="s">
        <v>186</v>
      </c>
      <c r="M61" t="str">
        <f t="shared" si="0"/>
        <v>Maxillaria sp.</v>
      </c>
      <c r="N61" t="s">
        <v>101</v>
      </c>
      <c r="S61">
        <f t="shared" si="1"/>
        <v>1</v>
      </c>
    </row>
    <row r="62" spans="1:19" x14ac:dyDescent="0.2">
      <c r="A62" t="s">
        <v>13</v>
      </c>
      <c r="B62" t="s">
        <v>71</v>
      </c>
      <c r="C62">
        <v>0.16653299999999999</v>
      </c>
      <c r="D62">
        <v>-78.880165000000005</v>
      </c>
      <c r="E62">
        <v>913</v>
      </c>
      <c r="F62" t="s">
        <v>15</v>
      </c>
      <c r="G62">
        <v>1</v>
      </c>
      <c r="H62">
        <v>8.5</v>
      </c>
      <c r="I62">
        <v>15.2</v>
      </c>
      <c r="J62" t="s">
        <v>104</v>
      </c>
      <c r="K62" t="s">
        <v>42</v>
      </c>
      <c r="L62" t="s">
        <v>205</v>
      </c>
      <c r="M62" t="str">
        <f t="shared" si="0"/>
        <v>Maxillaria sp. B</v>
      </c>
      <c r="N62" t="s">
        <v>105</v>
      </c>
      <c r="S62">
        <f t="shared" si="1"/>
        <v>1</v>
      </c>
    </row>
    <row r="63" spans="1:19" x14ac:dyDescent="0.2">
      <c r="A63" t="s">
        <v>13</v>
      </c>
      <c r="B63" t="s">
        <v>71</v>
      </c>
      <c r="C63">
        <v>0.16656599999999999</v>
      </c>
      <c r="D63">
        <v>-78.880358999999999</v>
      </c>
      <c r="E63">
        <v>915</v>
      </c>
      <c r="F63" t="s">
        <v>15</v>
      </c>
      <c r="G63">
        <v>2</v>
      </c>
      <c r="H63">
        <v>12.8</v>
      </c>
      <c r="I63">
        <v>19.899999999999999</v>
      </c>
      <c r="J63" t="s">
        <v>106</v>
      </c>
      <c r="K63" t="s">
        <v>42</v>
      </c>
      <c r="L63" t="s">
        <v>200</v>
      </c>
      <c r="M63" t="str">
        <f t="shared" si="0"/>
        <v>Maxillaria  bradei</v>
      </c>
      <c r="N63" t="s">
        <v>107</v>
      </c>
      <c r="S63">
        <f t="shared" si="1"/>
        <v>1</v>
      </c>
    </row>
    <row r="64" spans="1:19" hidden="1" x14ac:dyDescent="0.2">
      <c r="A64" t="s">
        <v>13</v>
      </c>
      <c r="B64" t="s">
        <v>71</v>
      </c>
      <c r="C64">
        <v>0.16661400000000001</v>
      </c>
      <c r="D64">
        <v>-78.880531000000005</v>
      </c>
      <c r="E64">
        <v>917</v>
      </c>
      <c r="F64" t="s">
        <v>15</v>
      </c>
      <c r="G64">
        <v>1</v>
      </c>
      <c r="H64">
        <v>16.2</v>
      </c>
      <c r="I64">
        <v>25.4</v>
      </c>
      <c r="J64" t="s">
        <v>108</v>
      </c>
      <c r="K64" t="s">
        <v>177</v>
      </c>
      <c r="L64" t="s">
        <v>186</v>
      </c>
      <c r="M64" t="str">
        <f t="shared" si="0"/>
        <v>Scaphyglottis  sp.</v>
      </c>
      <c r="N64" t="s">
        <v>109</v>
      </c>
      <c r="S64">
        <f t="shared" si="1"/>
        <v>0</v>
      </c>
    </row>
    <row r="65" spans="1:19" hidden="1" x14ac:dyDescent="0.2">
      <c r="A65" t="s">
        <v>13</v>
      </c>
      <c r="B65" t="s">
        <v>71</v>
      </c>
      <c r="C65">
        <v>0.166598</v>
      </c>
      <c r="D65">
        <v>-78.880562999999995</v>
      </c>
      <c r="E65">
        <v>915</v>
      </c>
      <c r="F65" t="s">
        <v>15</v>
      </c>
      <c r="G65">
        <v>1</v>
      </c>
      <c r="H65">
        <v>11.4</v>
      </c>
      <c r="I65">
        <v>23.6</v>
      </c>
      <c r="J65" t="s">
        <v>110</v>
      </c>
      <c r="K65" t="s">
        <v>177</v>
      </c>
      <c r="L65" t="s">
        <v>186</v>
      </c>
      <c r="M65" t="str">
        <f t="shared" si="0"/>
        <v>Scaphyglottis  sp.</v>
      </c>
      <c r="N65" t="s">
        <v>111</v>
      </c>
      <c r="S65">
        <f t="shared" si="1"/>
        <v>0</v>
      </c>
    </row>
    <row r="66" spans="1:19" hidden="1" x14ac:dyDescent="0.2">
      <c r="A66" t="s">
        <v>13</v>
      </c>
      <c r="B66" t="s">
        <v>71</v>
      </c>
      <c r="C66">
        <v>0.16661699999999999</v>
      </c>
      <c r="D66">
        <v>-78.880679999999998</v>
      </c>
      <c r="E66">
        <v>917</v>
      </c>
      <c r="F66" t="s">
        <v>15</v>
      </c>
      <c r="G66">
        <v>1</v>
      </c>
      <c r="H66">
        <v>4.3</v>
      </c>
      <c r="I66">
        <v>27.6</v>
      </c>
      <c r="J66" t="s">
        <v>112</v>
      </c>
      <c r="K66" t="s">
        <v>177</v>
      </c>
      <c r="L66" t="s">
        <v>186</v>
      </c>
      <c r="M66" t="str">
        <f t="shared" si="0"/>
        <v>Scaphyglottis  sp.</v>
      </c>
      <c r="N66" t="s">
        <v>113</v>
      </c>
      <c r="S66">
        <f t="shared" si="1"/>
        <v>0</v>
      </c>
    </row>
    <row r="67" spans="1:19" hidden="1" x14ac:dyDescent="0.2">
      <c r="A67" t="s">
        <v>13</v>
      </c>
      <c r="B67" t="s">
        <v>71</v>
      </c>
      <c r="C67">
        <v>0.16667699999999999</v>
      </c>
      <c r="D67">
        <v>-78.880999000000003</v>
      </c>
      <c r="E67">
        <v>915</v>
      </c>
      <c r="F67" t="s">
        <v>15</v>
      </c>
      <c r="G67">
        <v>1</v>
      </c>
      <c r="H67">
        <v>12.2</v>
      </c>
      <c r="I67">
        <v>20</v>
      </c>
      <c r="J67" t="s">
        <v>114</v>
      </c>
      <c r="K67" t="s">
        <v>177</v>
      </c>
      <c r="L67" t="s">
        <v>186</v>
      </c>
      <c r="M67" t="str">
        <f t="shared" ref="M67:M123" si="2">_xlfn.CONCAT(K67," ",L67)</f>
        <v>Scaphyglottis  sp.</v>
      </c>
      <c r="N67" t="s">
        <v>115</v>
      </c>
      <c r="S67">
        <f t="shared" ref="S67:S123" si="3">COUNTIF($Q$2:$Q$26,K67)</f>
        <v>0</v>
      </c>
    </row>
    <row r="68" spans="1:19" x14ac:dyDescent="0.2">
      <c r="A68" t="s">
        <v>13</v>
      </c>
      <c r="B68" t="s">
        <v>71</v>
      </c>
      <c r="C68">
        <v>0.16667699999999999</v>
      </c>
      <c r="D68">
        <v>-78.880999000000003</v>
      </c>
      <c r="E68">
        <v>915</v>
      </c>
      <c r="F68" t="s">
        <v>15</v>
      </c>
      <c r="G68">
        <v>1</v>
      </c>
      <c r="H68">
        <v>14.1</v>
      </c>
      <c r="I68">
        <v>20</v>
      </c>
      <c r="J68" t="s">
        <v>116</v>
      </c>
      <c r="K68" t="s">
        <v>42</v>
      </c>
      <c r="L68" t="s">
        <v>186</v>
      </c>
      <c r="M68" t="str">
        <f t="shared" si="2"/>
        <v>Maxillaria sp.</v>
      </c>
      <c r="N68" t="s">
        <v>115</v>
      </c>
      <c r="S68">
        <f t="shared" si="3"/>
        <v>1</v>
      </c>
    </row>
    <row r="69" spans="1:19" x14ac:dyDescent="0.2">
      <c r="A69" t="s">
        <v>13</v>
      </c>
      <c r="B69" t="s">
        <v>71</v>
      </c>
      <c r="C69">
        <v>0.16680800000000001</v>
      </c>
      <c r="D69">
        <v>-78.881097999999994</v>
      </c>
      <c r="E69">
        <v>919</v>
      </c>
      <c r="F69" t="s">
        <v>15</v>
      </c>
      <c r="G69">
        <v>1</v>
      </c>
      <c r="H69">
        <v>7.6</v>
      </c>
      <c r="I69">
        <v>17.8</v>
      </c>
      <c r="J69" t="s">
        <v>117</v>
      </c>
      <c r="K69" t="s">
        <v>42</v>
      </c>
      <c r="L69" t="s">
        <v>205</v>
      </c>
      <c r="M69" t="str">
        <f t="shared" si="2"/>
        <v>Maxillaria sp. B</v>
      </c>
      <c r="N69" t="s">
        <v>118</v>
      </c>
      <c r="S69">
        <f t="shared" si="3"/>
        <v>1</v>
      </c>
    </row>
    <row r="70" spans="1:19" x14ac:dyDescent="0.2">
      <c r="A70" t="s">
        <v>13</v>
      </c>
      <c r="B70" t="s">
        <v>71</v>
      </c>
      <c r="C70">
        <v>0.16680800000000001</v>
      </c>
      <c r="D70">
        <v>-78.881097999999994</v>
      </c>
      <c r="E70">
        <v>919</v>
      </c>
      <c r="F70" t="s">
        <v>15</v>
      </c>
      <c r="G70">
        <v>1</v>
      </c>
      <c r="H70">
        <v>9.1</v>
      </c>
      <c r="I70">
        <v>17.8</v>
      </c>
      <c r="J70" t="s">
        <v>119</v>
      </c>
      <c r="K70" t="s">
        <v>42</v>
      </c>
      <c r="L70" t="s">
        <v>204</v>
      </c>
      <c r="M70" t="str">
        <f t="shared" si="2"/>
        <v>Maxillaria sp. A</v>
      </c>
      <c r="N70" t="s">
        <v>118</v>
      </c>
      <c r="S70">
        <f t="shared" si="3"/>
        <v>1</v>
      </c>
    </row>
    <row r="71" spans="1:19" x14ac:dyDescent="0.2">
      <c r="A71" t="s">
        <v>13</v>
      </c>
      <c r="B71" t="s">
        <v>71</v>
      </c>
      <c r="C71">
        <v>0.166875</v>
      </c>
      <c r="D71">
        <v>-78.881275000000002</v>
      </c>
      <c r="E71">
        <v>922</v>
      </c>
      <c r="F71" t="s">
        <v>15</v>
      </c>
      <c r="G71">
        <v>1</v>
      </c>
      <c r="H71">
        <v>7.1</v>
      </c>
      <c r="I71">
        <v>21.2</v>
      </c>
      <c r="J71" t="s">
        <v>120</v>
      </c>
      <c r="K71" t="s">
        <v>42</v>
      </c>
      <c r="L71" t="s">
        <v>204</v>
      </c>
      <c r="M71" t="str">
        <f t="shared" si="2"/>
        <v>Maxillaria sp. A</v>
      </c>
      <c r="N71" t="s">
        <v>121</v>
      </c>
      <c r="S71">
        <f t="shared" si="3"/>
        <v>1</v>
      </c>
    </row>
    <row r="72" spans="1:19" hidden="1" x14ac:dyDescent="0.2">
      <c r="A72" t="s">
        <v>13</v>
      </c>
      <c r="B72" t="s">
        <v>71</v>
      </c>
      <c r="C72">
        <v>0.166875</v>
      </c>
      <c r="D72">
        <v>-78.881275000000002</v>
      </c>
      <c r="E72">
        <v>922</v>
      </c>
      <c r="F72" t="s">
        <v>15</v>
      </c>
      <c r="G72">
        <v>1</v>
      </c>
      <c r="H72">
        <v>6.3</v>
      </c>
      <c r="I72">
        <v>21.2</v>
      </c>
      <c r="J72" t="s">
        <v>122</v>
      </c>
      <c r="K72" t="s">
        <v>164</v>
      </c>
      <c r="L72" t="s">
        <v>186</v>
      </c>
      <c r="M72" t="str">
        <f t="shared" si="2"/>
        <v>Oncidiinae sp.</v>
      </c>
      <c r="N72" t="s">
        <v>121</v>
      </c>
      <c r="S72">
        <f t="shared" si="3"/>
        <v>0</v>
      </c>
    </row>
    <row r="73" spans="1:19" x14ac:dyDescent="0.2">
      <c r="A73" t="s">
        <v>13</v>
      </c>
      <c r="B73" t="s">
        <v>71</v>
      </c>
      <c r="C73">
        <v>0.166875</v>
      </c>
      <c r="D73">
        <v>-78.881275000000002</v>
      </c>
      <c r="E73">
        <v>922</v>
      </c>
      <c r="F73" t="s">
        <v>15</v>
      </c>
      <c r="G73">
        <v>1</v>
      </c>
      <c r="H73">
        <v>5</v>
      </c>
      <c r="I73">
        <v>21.2</v>
      </c>
      <c r="J73" t="s">
        <v>123</v>
      </c>
      <c r="K73" t="s">
        <v>42</v>
      </c>
      <c r="L73" t="s">
        <v>200</v>
      </c>
      <c r="M73" t="str">
        <f t="shared" si="2"/>
        <v>Maxillaria  bradei</v>
      </c>
      <c r="N73" t="s">
        <v>121</v>
      </c>
      <c r="S73">
        <f t="shared" si="3"/>
        <v>1</v>
      </c>
    </row>
    <row r="74" spans="1:19" x14ac:dyDescent="0.2">
      <c r="A74" t="s">
        <v>13</v>
      </c>
      <c r="B74" t="s">
        <v>71</v>
      </c>
      <c r="C74">
        <v>0.16683000000000001</v>
      </c>
      <c r="D74">
        <v>-78.881349</v>
      </c>
      <c r="E74">
        <v>921</v>
      </c>
      <c r="F74" t="s">
        <v>15</v>
      </c>
      <c r="G74">
        <v>1</v>
      </c>
      <c r="H74">
        <v>13.6</v>
      </c>
      <c r="I74">
        <v>21.6</v>
      </c>
      <c r="J74" t="s">
        <v>124</v>
      </c>
      <c r="K74" t="s">
        <v>42</v>
      </c>
      <c r="L74" t="s">
        <v>204</v>
      </c>
      <c r="M74" t="str">
        <f t="shared" si="2"/>
        <v>Maxillaria sp. A</v>
      </c>
      <c r="N74" t="s">
        <v>125</v>
      </c>
      <c r="S74">
        <f t="shared" si="3"/>
        <v>1</v>
      </c>
    </row>
    <row r="75" spans="1:19" x14ac:dyDescent="0.2">
      <c r="A75" t="s">
        <v>13</v>
      </c>
      <c r="B75" t="s">
        <v>71</v>
      </c>
      <c r="C75">
        <v>0.16685800000000001</v>
      </c>
      <c r="D75">
        <v>-78.881461000000002</v>
      </c>
      <c r="E75">
        <v>921</v>
      </c>
      <c r="F75" t="s">
        <v>15</v>
      </c>
      <c r="G75">
        <v>1</v>
      </c>
      <c r="H75">
        <v>7.4</v>
      </c>
      <c r="I75">
        <v>16.100000000000001</v>
      </c>
      <c r="J75" t="s">
        <v>126</v>
      </c>
      <c r="K75" t="s">
        <v>42</v>
      </c>
      <c r="L75" t="s">
        <v>206</v>
      </c>
      <c r="M75" t="str">
        <f t="shared" si="2"/>
        <v>Maxillaria sp. C</v>
      </c>
      <c r="N75" t="s">
        <v>127</v>
      </c>
      <c r="S75">
        <f t="shared" si="3"/>
        <v>1</v>
      </c>
    </row>
    <row r="76" spans="1:19" x14ac:dyDescent="0.2">
      <c r="A76" t="s">
        <v>13</v>
      </c>
      <c r="B76" t="s">
        <v>128</v>
      </c>
      <c r="C76">
        <v>-7.9583605000000002E-2</v>
      </c>
      <c r="D76">
        <v>-78.760773</v>
      </c>
      <c r="E76" t="s">
        <v>15</v>
      </c>
      <c r="F76" t="s">
        <v>15</v>
      </c>
      <c r="G76">
        <v>1</v>
      </c>
      <c r="H76">
        <v>2.4</v>
      </c>
      <c r="I76">
        <v>21</v>
      </c>
      <c r="J76" t="s">
        <v>129</v>
      </c>
      <c r="K76" t="s">
        <v>42</v>
      </c>
      <c r="L76" t="s">
        <v>186</v>
      </c>
      <c r="M76" t="str">
        <f t="shared" si="2"/>
        <v>Maxillaria sp.</v>
      </c>
      <c r="N76" t="s">
        <v>131</v>
      </c>
      <c r="S76">
        <f t="shared" si="3"/>
        <v>1</v>
      </c>
    </row>
    <row r="77" spans="1:19" x14ac:dyDescent="0.2">
      <c r="A77" t="s">
        <v>13</v>
      </c>
      <c r="B77" t="s">
        <v>128</v>
      </c>
      <c r="C77">
        <v>-8.0206124000000004E-2</v>
      </c>
      <c r="D77">
        <v>-78.761561</v>
      </c>
      <c r="E77" t="s">
        <v>15</v>
      </c>
      <c r="F77" t="s">
        <v>15</v>
      </c>
      <c r="G77">
        <v>1</v>
      </c>
      <c r="H77">
        <v>6.2</v>
      </c>
      <c r="I77">
        <v>35</v>
      </c>
      <c r="J77" t="s">
        <v>189</v>
      </c>
      <c r="K77" t="s">
        <v>42</v>
      </c>
      <c r="L77" t="s">
        <v>186</v>
      </c>
      <c r="M77" t="str">
        <f t="shared" si="2"/>
        <v>Maxillaria sp.</v>
      </c>
      <c r="N77" t="s">
        <v>132</v>
      </c>
      <c r="S77">
        <f t="shared" si="3"/>
        <v>1</v>
      </c>
    </row>
    <row r="78" spans="1:19" x14ac:dyDescent="0.2">
      <c r="A78" t="s">
        <v>13</v>
      </c>
      <c r="B78" t="s">
        <v>128</v>
      </c>
      <c r="C78">
        <v>-8.0206124000000004E-2</v>
      </c>
      <c r="D78">
        <v>-78.761561</v>
      </c>
      <c r="E78" t="s">
        <v>15</v>
      </c>
      <c r="F78" t="s">
        <v>15</v>
      </c>
      <c r="G78">
        <v>1</v>
      </c>
      <c r="H78">
        <v>7.4</v>
      </c>
      <c r="I78">
        <v>35</v>
      </c>
      <c r="J78" t="s">
        <v>189</v>
      </c>
      <c r="K78" t="s">
        <v>42</v>
      </c>
      <c r="L78" t="s">
        <v>186</v>
      </c>
      <c r="M78" t="str">
        <f t="shared" si="2"/>
        <v>Maxillaria sp.</v>
      </c>
      <c r="N78" t="s">
        <v>132</v>
      </c>
      <c r="S78">
        <f t="shared" si="3"/>
        <v>1</v>
      </c>
    </row>
    <row r="79" spans="1:19" x14ac:dyDescent="0.2">
      <c r="A79" t="s">
        <v>13</v>
      </c>
      <c r="B79" t="s">
        <v>128</v>
      </c>
      <c r="C79">
        <v>-8.0372113999999995E-2</v>
      </c>
      <c r="D79">
        <v>-78.761578</v>
      </c>
      <c r="E79" t="s">
        <v>15</v>
      </c>
      <c r="F79" t="s">
        <v>15</v>
      </c>
      <c r="G79">
        <v>1</v>
      </c>
      <c r="H79">
        <v>3.1</v>
      </c>
      <c r="I79" t="s">
        <v>15</v>
      </c>
      <c r="J79" t="s">
        <v>190</v>
      </c>
      <c r="K79" t="s">
        <v>42</v>
      </c>
      <c r="L79" t="s">
        <v>186</v>
      </c>
      <c r="M79" t="str">
        <f t="shared" si="2"/>
        <v>Maxillaria sp.</v>
      </c>
      <c r="N79" t="s">
        <v>133</v>
      </c>
      <c r="S79">
        <f t="shared" si="3"/>
        <v>1</v>
      </c>
    </row>
    <row r="80" spans="1:19" x14ac:dyDescent="0.2">
      <c r="A80" t="s">
        <v>13</v>
      </c>
      <c r="B80" t="s">
        <v>128</v>
      </c>
      <c r="C80">
        <v>-8.0372113999999995E-2</v>
      </c>
      <c r="D80">
        <v>-78.761578</v>
      </c>
      <c r="E80" t="s">
        <v>15</v>
      </c>
      <c r="F80" t="s">
        <v>15</v>
      </c>
      <c r="G80">
        <v>1</v>
      </c>
      <c r="H80">
        <v>5.5</v>
      </c>
      <c r="I80" t="s">
        <v>15</v>
      </c>
      <c r="J80" t="s">
        <v>190</v>
      </c>
      <c r="K80" t="s">
        <v>42</v>
      </c>
      <c r="L80" t="s">
        <v>200</v>
      </c>
      <c r="M80" t="str">
        <f t="shared" si="2"/>
        <v>Maxillaria  bradei</v>
      </c>
      <c r="N80" t="s">
        <v>133</v>
      </c>
      <c r="S80">
        <f t="shared" si="3"/>
        <v>1</v>
      </c>
    </row>
    <row r="81" spans="1:19" hidden="1" x14ac:dyDescent="0.2">
      <c r="A81" t="s">
        <v>13</v>
      </c>
      <c r="B81" t="s">
        <v>128</v>
      </c>
      <c r="C81">
        <v>-8.0372113999999995E-2</v>
      </c>
      <c r="D81">
        <v>-78.761578</v>
      </c>
      <c r="E81" t="s">
        <v>15</v>
      </c>
      <c r="F81" t="s">
        <v>15</v>
      </c>
      <c r="G81">
        <v>1</v>
      </c>
      <c r="H81">
        <v>2</v>
      </c>
      <c r="I81" t="s">
        <v>15</v>
      </c>
      <c r="J81" t="s">
        <v>190</v>
      </c>
      <c r="K81" t="s">
        <v>177</v>
      </c>
      <c r="L81" t="s">
        <v>186</v>
      </c>
      <c r="M81" t="str">
        <f t="shared" si="2"/>
        <v>Scaphyglottis  sp.</v>
      </c>
      <c r="N81" t="s">
        <v>133</v>
      </c>
      <c r="S81">
        <f t="shared" si="3"/>
        <v>0</v>
      </c>
    </row>
    <row r="82" spans="1:19" x14ac:dyDescent="0.2">
      <c r="A82" t="s">
        <v>13</v>
      </c>
      <c r="B82" t="s">
        <v>128</v>
      </c>
      <c r="C82">
        <v>-8.0420531000000003E-2</v>
      </c>
      <c r="D82">
        <v>-78.761599000000004</v>
      </c>
      <c r="E82" t="s">
        <v>15</v>
      </c>
      <c r="F82" t="s">
        <v>15</v>
      </c>
      <c r="G82">
        <v>1</v>
      </c>
      <c r="H82">
        <v>6</v>
      </c>
      <c r="I82">
        <v>18</v>
      </c>
      <c r="J82" t="s">
        <v>191</v>
      </c>
      <c r="K82" t="s">
        <v>201</v>
      </c>
      <c r="L82" t="s">
        <v>196</v>
      </c>
      <c r="M82" t="str">
        <f>_xlfn.CONCAT(K82," ",L82)</f>
        <v>Sudamelycaste sp1</v>
      </c>
      <c r="N82" t="s">
        <v>135</v>
      </c>
      <c r="S82">
        <f t="shared" si="3"/>
        <v>1</v>
      </c>
    </row>
    <row r="83" spans="1:19" x14ac:dyDescent="0.2">
      <c r="A83" t="s">
        <v>13</v>
      </c>
      <c r="B83" t="s">
        <v>128</v>
      </c>
      <c r="C83">
        <v>-8.0420531000000003E-2</v>
      </c>
      <c r="D83">
        <v>-78.761599000000004</v>
      </c>
      <c r="E83" t="s">
        <v>15</v>
      </c>
      <c r="F83" t="s">
        <v>15</v>
      </c>
      <c r="G83">
        <v>1</v>
      </c>
      <c r="H83">
        <v>7.5</v>
      </c>
      <c r="I83">
        <v>18</v>
      </c>
      <c r="J83" t="s">
        <v>191</v>
      </c>
      <c r="K83" t="s">
        <v>201</v>
      </c>
      <c r="L83" t="s">
        <v>196</v>
      </c>
      <c r="M83" t="str">
        <f>_xlfn.CONCAT(K83," ",L83)</f>
        <v>Sudamelycaste sp1</v>
      </c>
      <c r="N83" t="s">
        <v>135</v>
      </c>
      <c r="S83">
        <f t="shared" si="3"/>
        <v>1</v>
      </c>
    </row>
    <row r="84" spans="1:19" hidden="1" x14ac:dyDescent="0.2">
      <c r="A84" t="s">
        <v>13</v>
      </c>
      <c r="B84" t="s">
        <v>128</v>
      </c>
      <c r="C84">
        <v>-8.0581893000000002E-2</v>
      </c>
      <c r="D84">
        <v>-78.761674999999997</v>
      </c>
      <c r="E84" t="s">
        <v>15</v>
      </c>
      <c r="F84" t="s">
        <v>15</v>
      </c>
      <c r="G84">
        <v>1</v>
      </c>
      <c r="H84">
        <v>4.5999999999999996</v>
      </c>
      <c r="I84" t="s">
        <v>15</v>
      </c>
      <c r="J84" t="s">
        <v>15</v>
      </c>
      <c r="K84" t="s">
        <v>136</v>
      </c>
      <c r="L84" t="s">
        <v>186</v>
      </c>
      <c r="M84" t="str">
        <f t="shared" si="2"/>
        <v>Xylobium sp.</v>
      </c>
      <c r="N84" t="s">
        <v>137</v>
      </c>
      <c r="S84">
        <f t="shared" si="3"/>
        <v>0</v>
      </c>
    </row>
    <row r="85" spans="1:19" x14ac:dyDescent="0.2">
      <c r="A85" t="s">
        <v>13</v>
      </c>
      <c r="B85" t="s">
        <v>128</v>
      </c>
      <c r="C85">
        <v>-8.0693400999999998E-2</v>
      </c>
      <c r="D85">
        <v>-78.762004000000005</v>
      </c>
      <c r="E85" t="s">
        <v>15</v>
      </c>
      <c r="F85" t="s">
        <v>15</v>
      </c>
      <c r="G85">
        <v>1</v>
      </c>
      <c r="H85">
        <v>4.7</v>
      </c>
      <c r="I85">
        <v>8.6999999999999993</v>
      </c>
      <c r="J85" t="s">
        <v>192</v>
      </c>
      <c r="K85" t="s">
        <v>201</v>
      </c>
      <c r="L85" t="s">
        <v>186</v>
      </c>
      <c r="M85" t="str">
        <f t="shared" si="2"/>
        <v>Sudamelycaste sp.</v>
      </c>
      <c r="N85" t="s">
        <v>139</v>
      </c>
      <c r="S85">
        <f t="shared" si="3"/>
        <v>1</v>
      </c>
    </row>
    <row r="86" spans="1:19" x14ac:dyDescent="0.2">
      <c r="A86" t="s">
        <v>13</v>
      </c>
      <c r="B86" t="s">
        <v>128</v>
      </c>
      <c r="C86">
        <v>-8.0759399999999995E-2</v>
      </c>
      <c r="D86">
        <v>-78.762377999999998</v>
      </c>
      <c r="E86" t="s">
        <v>15</v>
      </c>
      <c r="F86" t="s">
        <v>15</v>
      </c>
      <c r="G86">
        <v>1</v>
      </c>
      <c r="H86">
        <v>5.7</v>
      </c>
      <c r="I86" t="s">
        <v>15</v>
      </c>
      <c r="J86" t="s">
        <v>15</v>
      </c>
      <c r="K86" t="s">
        <v>42</v>
      </c>
      <c r="L86" t="s">
        <v>186</v>
      </c>
      <c r="M86" t="str">
        <f t="shared" si="2"/>
        <v>Maxillaria sp.</v>
      </c>
      <c r="N86" t="s">
        <v>140</v>
      </c>
      <c r="S86">
        <f t="shared" si="3"/>
        <v>1</v>
      </c>
    </row>
    <row r="87" spans="1:19" hidden="1" x14ac:dyDescent="0.2">
      <c r="A87" t="s">
        <v>13</v>
      </c>
      <c r="B87" t="s">
        <v>128</v>
      </c>
      <c r="C87">
        <v>-7.9563999999999996E-2</v>
      </c>
      <c r="D87">
        <v>-78.760783000000004</v>
      </c>
      <c r="E87" t="s">
        <v>15</v>
      </c>
      <c r="F87" t="s">
        <v>15</v>
      </c>
      <c r="G87">
        <v>1</v>
      </c>
      <c r="H87">
        <v>2.4</v>
      </c>
      <c r="I87">
        <v>21</v>
      </c>
      <c r="J87" t="s">
        <v>141</v>
      </c>
      <c r="K87" t="s">
        <v>130</v>
      </c>
      <c r="L87" t="s">
        <v>186</v>
      </c>
      <c r="M87" t="str">
        <f t="shared" si="2"/>
        <v>Pleurothallis sp.</v>
      </c>
      <c r="N87" t="s">
        <v>142</v>
      </c>
      <c r="S87">
        <f t="shared" si="3"/>
        <v>0</v>
      </c>
    </row>
    <row r="88" spans="1:19" hidden="1" x14ac:dyDescent="0.2">
      <c r="A88" t="s">
        <v>13</v>
      </c>
      <c r="B88" t="s">
        <v>128</v>
      </c>
      <c r="C88">
        <v>-8.1402000000000002E-2</v>
      </c>
      <c r="D88">
        <v>-78.762263000000004</v>
      </c>
      <c r="E88" t="s">
        <v>15</v>
      </c>
      <c r="F88" t="s">
        <v>15</v>
      </c>
      <c r="G88">
        <v>1</v>
      </c>
      <c r="H88">
        <v>7.3</v>
      </c>
      <c r="I88">
        <v>30</v>
      </c>
      <c r="J88" t="s">
        <v>15</v>
      </c>
      <c r="K88" t="s">
        <v>202</v>
      </c>
      <c r="L88" t="s">
        <v>186</v>
      </c>
      <c r="M88" t="str">
        <f t="shared" si="2"/>
        <v>Sudamerlycaste sp.</v>
      </c>
      <c r="N88" t="s">
        <v>143</v>
      </c>
      <c r="S88">
        <f t="shared" si="3"/>
        <v>0</v>
      </c>
    </row>
    <row r="89" spans="1:19" hidden="1" x14ac:dyDescent="0.2">
      <c r="A89" t="s">
        <v>13</v>
      </c>
      <c r="B89" t="s">
        <v>128</v>
      </c>
      <c r="C89">
        <v>-8.1402000000000002E-2</v>
      </c>
      <c r="D89">
        <v>-78.762263000000004</v>
      </c>
      <c r="E89" t="s">
        <v>15</v>
      </c>
      <c r="F89" t="s">
        <v>15</v>
      </c>
      <c r="G89">
        <v>1</v>
      </c>
      <c r="H89">
        <v>4.2</v>
      </c>
      <c r="I89">
        <v>30</v>
      </c>
      <c r="J89" t="s">
        <v>15</v>
      </c>
      <c r="K89" t="s">
        <v>202</v>
      </c>
      <c r="L89" t="s">
        <v>186</v>
      </c>
      <c r="M89" t="str">
        <f t="shared" si="2"/>
        <v>Sudamerlycaste sp.</v>
      </c>
      <c r="N89" t="s">
        <v>143</v>
      </c>
      <c r="S89">
        <f t="shared" si="3"/>
        <v>0</v>
      </c>
    </row>
    <row r="90" spans="1:19" hidden="1" x14ac:dyDescent="0.2">
      <c r="A90" t="s">
        <v>13</v>
      </c>
      <c r="B90" t="s">
        <v>128</v>
      </c>
      <c r="C90">
        <v>-8.1410999999999997E-2</v>
      </c>
      <c r="D90">
        <v>-78.762236999999999</v>
      </c>
      <c r="E90" t="s">
        <v>15</v>
      </c>
      <c r="F90" t="s">
        <v>15</v>
      </c>
      <c r="G90">
        <v>1</v>
      </c>
      <c r="H90">
        <v>3</v>
      </c>
      <c r="I90" t="s">
        <v>15</v>
      </c>
      <c r="J90" t="s">
        <v>144</v>
      </c>
      <c r="K90" t="s">
        <v>202</v>
      </c>
      <c r="L90" t="s">
        <v>186</v>
      </c>
      <c r="M90" t="str">
        <f t="shared" si="2"/>
        <v>Sudamerlycaste sp.</v>
      </c>
      <c r="N90" t="s">
        <v>145</v>
      </c>
      <c r="S90">
        <f t="shared" si="3"/>
        <v>0</v>
      </c>
    </row>
    <row r="91" spans="1:19" hidden="1" x14ac:dyDescent="0.2">
      <c r="A91" t="s">
        <v>13</v>
      </c>
      <c r="B91" t="s">
        <v>128</v>
      </c>
      <c r="C91">
        <v>-8.1967999999999999E-2</v>
      </c>
      <c r="D91">
        <v>-78.762165999999993</v>
      </c>
      <c r="E91" t="s">
        <v>15</v>
      </c>
      <c r="F91" t="s">
        <v>15</v>
      </c>
      <c r="G91">
        <v>1</v>
      </c>
      <c r="H91">
        <v>11</v>
      </c>
      <c r="I91" t="s">
        <v>15</v>
      </c>
      <c r="J91" t="s">
        <v>193</v>
      </c>
      <c r="K91" t="s">
        <v>202</v>
      </c>
      <c r="L91" t="s">
        <v>203</v>
      </c>
      <c r="M91" t="str">
        <f t="shared" si="2"/>
        <v>Sudamerlycaste sp2</v>
      </c>
      <c r="N91" t="s">
        <v>146</v>
      </c>
      <c r="S91">
        <f t="shared" si="3"/>
        <v>0</v>
      </c>
    </row>
    <row r="92" spans="1:19" hidden="1" x14ac:dyDescent="0.2">
      <c r="A92" t="s">
        <v>13</v>
      </c>
      <c r="B92" t="s">
        <v>128</v>
      </c>
      <c r="C92">
        <v>-8.1967999999999999E-2</v>
      </c>
      <c r="D92">
        <v>-78.762165999999993</v>
      </c>
      <c r="E92" t="s">
        <v>15</v>
      </c>
      <c r="F92" t="s">
        <v>15</v>
      </c>
      <c r="G92">
        <v>1</v>
      </c>
      <c r="H92">
        <v>13</v>
      </c>
      <c r="I92" t="s">
        <v>15</v>
      </c>
      <c r="J92" t="s">
        <v>193</v>
      </c>
      <c r="K92" t="s">
        <v>202</v>
      </c>
      <c r="L92" t="s">
        <v>203</v>
      </c>
      <c r="M92" t="str">
        <f t="shared" si="2"/>
        <v>Sudamerlycaste sp2</v>
      </c>
      <c r="N92" t="s">
        <v>146</v>
      </c>
      <c r="S92">
        <f t="shared" si="3"/>
        <v>0</v>
      </c>
    </row>
    <row r="93" spans="1:19" hidden="1" x14ac:dyDescent="0.2">
      <c r="A93" t="s">
        <v>13</v>
      </c>
      <c r="B93" t="s">
        <v>128</v>
      </c>
      <c r="C93">
        <v>-8.1967999999999999E-2</v>
      </c>
      <c r="D93">
        <v>-78.762165999999993</v>
      </c>
      <c r="E93" t="s">
        <v>15</v>
      </c>
      <c r="F93" t="s">
        <v>15</v>
      </c>
      <c r="G93">
        <v>1</v>
      </c>
      <c r="H93">
        <v>13</v>
      </c>
      <c r="I93" t="s">
        <v>15</v>
      </c>
      <c r="J93" t="s">
        <v>193</v>
      </c>
      <c r="K93" t="s">
        <v>202</v>
      </c>
      <c r="L93" t="s">
        <v>203</v>
      </c>
      <c r="M93" t="str">
        <f t="shared" si="2"/>
        <v>Sudamerlycaste sp2</v>
      </c>
      <c r="N93" t="s">
        <v>146</v>
      </c>
      <c r="S93">
        <f t="shared" si="3"/>
        <v>0</v>
      </c>
    </row>
    <row r="94" spans="1:19" x14ac:dyDescent="0.2">
      <c r="A94" t="s">
        <v>13</v>
      </c>
      <c r="B94" t="s">
        <v>128</v>
      </c>
      <c r="C94">
        <v>-8.2197000000000006E-2</v>
      </c>
      <c r="D94">
        <v>-78.762286000000003</v>
      </c>
      <c r="E94" t="s">
        <v>15</v>
      </c>
      <c r="F94" t="s">
        <v>15</v>
      </c>
      <c r="G94">
        <v>1</v>
      </c>
      <c r="H94">
        <v>5</v>
      </c>
      <c r="I94" t="s">
        <v>15</v>
      </c>
      <c r="J94" t="s">
        <v>15</v>
      </c>
      <c r="K94" t="s">
        <v>42</v>
      </c>
      <c r="L94" t="s">
        <v>186</v>
      </c>
      <c r="M94" t="str">
        <f t="shared" si="2"/>
        <v>Maxillaria sp.</v>
      </c>
      <c r="N94" t="s">
        <v>147</v>
      </c>
      <c r="S94">
        <f t="shared" si="3"/>
        <v>1</v>
      </c>
    </row>
    <row r="95" spans="1:19" x14ac:dyDescent="0.2">
      <c r="A95" t="s">
        <v>13</v>
      </c>
      <c r="B95" t="s">
        <v>128</v>
      </c>
      <c r="C95">
        <v>-8.2197000000000006E-2</v>
      </c>
      <c r="D95">
        <v>-78.762286000000003</v>
      </c>
      <c r="E95" t="s">
        <v>15</v>
      </c>
      <c r="F95" t="s">
        <v>15</v>
      </c>
      <c r="G95">
        <v>1</v>
      </c>
      <c r="H95">
        <v>10</v>
      </c>
      <c r="I95" t="s">
        <v>15</v>
      </c>
      <c r="J95" t="s">
        <v>15</v>
      </c>
      <c r="K95" t="s">
        <v>42</v>
      </c>
      <c r="L95" t="s">
        <v>186</v>
      </c>
      <c r="M95" t="str">
        <f t="shared" si="2"/>
        <v>Maxillaria sp.</v>
      </c>
      <c r="N95" t="s">
        <v>147</v>
      </c>
      <c r="S95">
        <f t="shared" si="3"/>
        <v>1</v>
      </c>
    </row>
    <row r="96" spans="1:19" x14ac:dyDescent="0.2">
      <c r="A96" t="s">
        <v>13</v>
      </c>
      <c r="B96" t="s">
        <v>128</v>
      </c>
      <c r="C96">
        <v>-8.2197000000000006E-2</v>
      </c>
      <c r="D96">
        <v>-78.762286000000003</v>
      </c>
      <c r="E96" t="s">
        <v>15</v>
      </c>
      <c r="F96" t="s">
        <v>15</v>
      </c>
      <c r="G96">
        <v>1</v>
      </c>
      <c r="H96">
        <v>23</v>
      </c>
      <c r="I96" t="s">
        <v>15</v>
      </c>
      <c r="J96" t="s">
        <v>15</v>
      </c>
      <c r="K96" t="s">
        <v>42</v>
      </c>
      <c r="L96" t="s">
        <v>186</v>
      </c>
      <c r="M96" t="str">
        <f t="shared" si="2"/>
        <v>Maxillaria sp.</v>
      </c>
      <c r="N96" t="s">
        <v>147</v>
      </c>
      <c r="S96">
        <f t="shared" si="3"/>
        <v>1</v>
      </c>
    </row>
    <row r="97" spans="1:19" x14ac:dyDescent="0.2">
      <c r="A97" t="s">
        <v>13</v>
      </c>
      <c r="B97" t="s">
        <v>128</v>
      </c>
      <c r="C97">
        <v>-8.2242999999999997E-2</v>
      </c>
      <c r="D97">
        <v>-78.762291000000005</v>
      </c>
      <c r="E97" t="s">
        <v>15</v>
      </c>
      <c r="F97" t="s">
        <v>15</v>
      </c>
      <c r="G97">
        <v>1</v>
      </c>
      <c r="H97">
        <v>4</v>
      </c>
      <c r="I97" t="s">
        <v>15</v>
      </c>
      <c r="J97" t="s">
        <v>15</v>
      </c>
      <c r="K97" s="1" t="s">
        <v>42</v>
      </c>
      <c r="L97" t="s">
        <v>203</v>
      </c>
      <c r="M97" t="str">
        <f t="shared" si="2"/>
        <v>Maxillaria sp2</v>
      </c>
      <c r="N97" t="s">
        <v>147</v>
      </c>
      <c r="S97">
        <f t="shared" si="3"/>
        <v>1</v>
      </c>
    </row>
    <row r="98" spans="1:19" x14ac:dyDescent="0.2">
      <c r="A98" t="s">
        <v>13</v>
      </c>
      <c r="B98" t="s">
        <v>128</v>
      </c>
      <c r="C98">
        <v>-8.2242999999999997E-2</v>
      </c>
      <c r="D98">
        <v>-78.762291000000005</v>
      </c>
      <c r="E98" t="s">
        <v>15</v>
      </c>
      <c r="F98" t="s">
        <v>15</v>
      </c>
      <c r="G98">
        <v>1</v>
      </c>
      <c r="H98">
        <v>6.5</v>
      </c>
      <c r="I98" t="s">
        <v>15</v>
      </c>
      <c r="J98" t="s">
        <v>15</v>
      </c>
      <c r="K98" s="1" t="s">
        <v>42</v>
      </c>
      <c r="L98" t="s">
        <v>203</v>
      </c>
      <c r="M98" t="str">
        <f t="shared" si="2"/>
        <v>Maxillaria sp2</v>
      </c>
      <c r="N98" t="s">
        <v>147</v>
      </c>
      <c r="S98">
        <f t="shared" si="3"/>
        <v>1</v>
      </c>
    </row>
    <row r="99" spans="1:19" hidden="1" x14ac:dyDescent="0.2">
      <c r="A99" t="s">
        <v>13</v>
      </c>
      <c r="B99" t="s">
        <v>128</v>
      </c>
      <c r="C99">
        <v>-8.2646999999999998E-2</v>
      </c>
      <c r="D99">
        <v>-78.762230000000002</v>
      </c>
      <c r="E99" t="s">
        <v>15</v>
      </c>
      <c r="F99" t="s">
        <v>15</v>
      </c>
      <c r="G99">
        <v>1</v>
      </c>
      <c r="H99">
        <v>9.6999999999999993</v>
      </c>
      <c r="I99" t="s">
        <v>15</v>
      </c>
      <c r="J99" t="s">
        <v>15</v>
      </c>
      <c r="K99" t="s">
        <v>136</v>
      </c>
      <c r="L99" t="s">
        <v>186</v>
      </c>
      <c r="M99" t="str">
        <f t="shared" si="2"/>
        <v>Xylobium sp.</v>
      </c>
      <c r="N99" t="s">
        <v>148</v>
      </c>
      <c r="S99">
        <f t="shared" si="3"/>
        <v>0</v>
      </c>
    </row>
    <row r="100" spans="1:19" hidden="1" x14ac:dyDescent="0.2">
      <c r="A100" t="s">
        <v>13</v>
      </c>
      <c r="B100" t="s">
        <v>128</v>
      </c>
      <c r="C100">
        <v>-8.2646999999999998E-2</v>
      </c>
      <c r="D100">
        <v>-78.762230000000002</v>
      </c>
      <c r="E100" t="s">
        <v>15</v>
      </c>
      <c r="F100" t="s">
        <v>15</v>
      </c>
      <c r="G100">
        <v>1</v>
      </c>
      <c r="H100">
        <v>20</v>
      </c>
      <c r="I100" t="s">
        <v>15</v>
      </c>
      <c r="J100" t="s">
        <v>15</v>
      </c>
      <c r="K100" t="s">
        <v>136</v>
      </c>
      <c r="L100" t="s">
        <v>186</v>
      </c>
      <c r="M100" t="str">
        <f t="shared" si="2"/>
        <v>Xylobium sp.</v>
      </c>
      <c r="N100" t="s">
        <v>148</v>
      </c>
      <c r="S100">
        <f t="shared" si="3"/>
        <v>0</v>
      </c>
    </row>
    <row r="101" spans="1:19" hidden="1" x14ac:dyDescent="0.2">
      <c r="A101" t="s">
        <v>13</v>
      </c>
      <c r="B101" t="s">
        <v>128</v>
      </c>
      <c r="C101">
        <v>-8.3903000000000005E-2</v>
      </c>
      <c r="D101">
        <v>-78.762552999999997</v>
      </c>
      <c r="E101" t="s">
        <v>15</v>
      </c>
      <c r="F101" t="s">
        <v>15</v>
      </c>
      <c r="G101">
        <v>1</v>
      </c>
      <c r="H101">
        <v>3</v>
      </c>
      <c r="I101" t="s">
        <v>15</v>
      </c>
      <c r="J101" t="s">
        <v>194</v>
      </c>
      <c r="K101" t="s">
        <v>202</v>
      </c>
      <c r="L101" t="s">
        <v>186</v>
      </c>
      <c r="M101" t="str">
        <f t="shared" si="2"/>
        <v>Sudamerlycaste sp.</v>
      </c>
      <c r="N101" t="s">
        <v>149</v>
      </c>
      <c r="S101">
        <f t="shared" si="3"/>
        <v>0</v>
      </c>
    </row>
    <row r="102" spans="1:19" hidden="1" x14ac:dyDescent="0.2">
      <c r="A102" t="s">
        <v>13</v>
      </c>
      <c r="B102" t="s">
        <v>128</v>
      </c>
      <c r="C102">
        <v>-8.4021999999999999E-2</v>
      </c>
      <c r="D102">
        <v>-78.762473999999997</v>
      </c>
      <c r="E102" t="s">
        <v>15</v>
      </c>
      <c r="F102" t="s">
        <v>15</v>
      </c>
      <c r="G102">
        <v>1</v>
      </c>
      <c r="H102">
        <v>3.8</v>
      </c>
      <c r="I102" t="s">
        <v>15</v>
      </c>
      <c r="J102" t="s">
        <v>150</v>
      </c>
      <c r="K102" t="s">
        <v>136</v>
      </c>
      <c r="L102" t="s">
        <v>186</v>
      </c>
      <c r="M102" t="str">
        <f t="shared" si="2"/>
        <v>Xylobium sp.</v>
      </c>
      <c r="N102" t="s">
        <v>151</v>
      </c>
      <c r="S102">
        <f t="shared" si="3"/>
        <v>0</v>
      </c>
    </row>
    <row r="103" spans="1:19" hidden="1" x14ac:dyDescent="0.2">
      <c r="A103" t="s">
        <v>13</v>
      </c>
      <c r="B103" t="s">
        <v>128</v>
      </c>
      <c r="C103">
        <v>-8.4737000000000007E-2</v>
      </c>
      <c r="D103">
        <v>-78.762410000000003</v>
      </c>
      <c r="E103" t="s">
        <v>15</v>
      </c>
      <c r="F103" t="s">
        <v>15</v>
      </c>
      <c r="G103">
        <v>1</v>
      </c>
      <c r="H103">
        <v>2</v>
      </c>
      <c r="I103" t="s">
        <v>15</v>
      </c>
      <c r="J103" t="s">
        <v>15</v>
      </c>
      <c r="K103" t="s">
        <v>202</v>
      </c>
      <c r="L103" t="s">
        <v>186</v>
      </c>
      <c r="M103" t="str">
        <f t="shared" si="2"/>
        <v>Sudamerlycaste sp.</v>
      </c>
      <c r="N103" t="s">
        <v>152</v>
      </c>
      <c r="S103">
        <f t="shared" si="3"/>
        <v>0</v>
      </c>
    </row>
    <row r="104" spans="1:19" hidden="1" x14ac:dyDescent="0.2">
      <c r="A104" t="s">
        <v>13</v>
      </c>
      <c r="B104" t="s">
        <v>128</v>
      </c>
      <c r="C104">
        <v>-8.4737000000000007E-2</v>
      </c>
      <c r="D104">
        <v>-78.762410000000003</v>
      </c>
      <c r="E104" t="s">
        <v>15</v>
      </c>
      <c r="F104" t="s">
        <v>15</v>
      </c>
      <c r="G104">
        <v>1</v>
      </c>
      <c r="H104">
        <v>12</v>
      </c>
      <c r="I104" t="s">
        <v>15</v>
      </c>
      <c r="J104" t="s">
        <v>15</v>
      </c>
      <c r="K104" t="s">
        <v>202</v>
      </c>
      <c r="L104" t="s">
        <v>186</v>
      </c>
      <c r="M104" t="str">
        <f t="shared" si="2"/>
        <v>Sudamerlycaste sp.</v>
      </c>
      <c r="N104" t="s">
        <v>152</v>
      </c>
      <c r="S104">
        <f t="shared" si="3"/>
        <v>0</v>
      </c>
    </row>
    <row r="105" spans="1:19" hidden="1" x14ac:dyDescent="0.2">
      <c r="A105" t="s">
        <v>13</v>
      </c>
      <c r="B105" t="s">
        <v>128</v>
      </c>
      <c r="C105">
        <v>-8.4737000000000007E-2</v>
      </c>
      <c r="D105">
        <v>-78.762410000000003</v>
      </c>
      <c r="E105" t="s">
        <v>15</v>
      </c>
      <c r="F105" t="s">
        <v>15</v>
      </c>
      <c r="G105">
        <v>1</v>
      </c>
      <c r="H105">
        <v>6</v>
      </c>
      <c r="I105" t="s">
        <v>15</v>
      </c>
      <c r="J105" t="s">
        <v>15</v>
      </c>
      <c r="K105" t="s">
        <v>202</v>
      </c>
      <c r="L105" t="s">
        <v>186</v>
      </c>
      <c r="M105" t="str">
        <f t="shared" si="2"/>
        <v>Sudamerlycaste sp.</v>
      </c>
      <c r="N105" t="s">
        <v>152</v>
      </c>
      <c r="S105">
        <f t="shared" si="3"/>
        <v>0</v>
      </c>
    </row>
    <row r="106" spans="1:19" hidden="1" x14ac:dyDescent="0.2">
      <c r="A106" t="s">
        <v>13</v>
      </c>
      <c r="B106" t="s">
        <v>128</v>
      </c>
      <c r="C106">
        <v>-8.5406999999999997E-2</v>
      </c>
      <c r="D106">
        <v>-78.762197999999998</v>
      </c>
      <c r="E106" t="s">
        <v>15</v>
      </c>
      <c r="F106" t="s">
        <v>15</v>
      </c>
      <c r="G106">
        <v>1</v>
      </c>
      <c r="H106">
        <v>4.5</v>
      </c>
      <c r="I106" t="s">
        <v>15</v>
      </c>
      <c r="J106" t="s">
        <v>195</v>
      </c>
      <c r="K106" t="s">
        <v>202</v>
      </c>
      <c r="L106" t="s">
        <v>203</v>
      </c>
      <c r="M106" t="str">
        <f t="shared" si="2"/>
        <v>Sudamerlycaste sp2</v>
      </c>
      <c r="N106" t="s">
        <v>153</v>
      </c>
      <c r="S106">
        <f t="shared" si="3"/>
        <v>0</v>
      </c>
    </row>
    <row r="107" spans="1:19" hidden="1" x14ac:dyDescent="0.2">
      <c r="A107" t="s">
        <v>13</v>
      </c>
      <c r="B107" t="s">
        <v>128</v>
      </c>
      <c r="C107">
        <v>-8.5406999999999997E-2</v>
      </c>
      <c r="D107">
        <v>-78.762197999999998</v>
      </c>
      <c r="E107" t="s">
        <v>15</v>
      </c>
      <c r="F107" t="s">
        <v>15</v>
      </c>
      <c r="G107">
        <v>1</v>
      </c>
      <c r="H107">
        <v>6</v>
      </c>
      <c r="I107" t="s">
        <v>15</v>
      </c>
      <c r="J107" t="s">
        <v>195</v>
      </c>
      <c r="K107" t="s">
        <v>202</v>
      </c>
      <c r="L107" t="s">
        <v>203</v>
      </c>
      <c r="M107" t="str">
        <f t="shared" si="2"/>
        <v>Sudamerlycaste sp2</v>
      </c>
      <c r="N107" t="s">
        <v>153</v>
      </c>
      <c r="S107">
        <f t="shared" si="3"/>
        <v>0</v>
      </c>
    </row>
    <row r="108" spans="1:19" hidden="1" x14ac:dyDescent="0.2">
      <c r="A108" t="s">
        <v>13</v>
      </c>
      <c r="B108" t="s">
        <v>128</v>
      </c>
      <c r="C108">
        <v>-8.5406999999999997E-2</v>
      </c>
      <c r="D108">
        <v>-78.762197999999998</v>
      </c>
      <c r="E108" t="s">
        <v>15</v>
      </c>
      <c r="F108" t="s">
        <v>15</v>
      </c>
      <c r="G108">
        <v>1</v>
      </c>
      <c r="H108">
        <v>5</v>
      </c>
      <c r="I108" t="s">
        <v>15</v>
      </c>
      <c r="J108" t="s">
        <v>195</v>
      </c>
      <c r="K108" t="s">
        <v>202</v>
      </c>
      <c r="L108" t="s">
        <v>203</v>
      </c>
      <c r="M108" t="str">
        <f t="shared" si="2"/>
        <v>Sudamerlycaste sp2</v>
      </c>
      <c r="N108" t="s">
        <v>153</v>
      </c>
      <c r="S108">
        <f t="shared" si="3"/>
        <v>0</v>
      </c>
    </row>
    <row r="109" spans="1:19" x14ac:dyDescent="0.2">
      <c r="A109" t="s">
        <v>13</v>
      </c>
      <c r="B109" t="s">
        <v>128</v>
      </c>
      <c r="C109">
        <v>-8.5842000000000002E-2</v>
      </c>
      <c r="D109">
        <v>-78.761954000000003</v>
      </c>
      <c r="E109" t="s">
        <v>15</v>
      </c>
      <c r="F109" t="s">
        <v>15</v>
      </c>
      <c r="G109">
        <v>1</v>
      </c>
      <c r="H109" t="s">
        <v>15</v>
      </c>
      <c r="I109" t="s">
        <v>15</v>
      </c>
      <c r="J109" t="s">
        <v>15</v>
      </c>
      <c r="K109" s="1" t="s">
        <v>42</v>
      </c>
      <c r="L109" t="s">
        <v>186</v>
      </c>
      <c r="M109" t="str">
        <f t="shared" si="2"/>
        <v>Maxillaria sp.</v>
      </c>
      <c r="N109" t="s">
        <v>154</v>
      </c>
      <c r="S109">
        <f t="shared" si="3"/>
        <v>1</v>
      </c>
    </row>
    <row r="110" spans="1:19" x14ac:dyDescent="0.2">
      <c r="A110" t="s">
        <v>13</v>
      </c>
      <c r="B110" t="s">
        <v>128</v>
      </c>
      <c r="C110">
        <v>-8.5921999999999998E-2</v>
      </c>
      <c r="D110">
        <v>-78.761849999999995</v>
      </c>
      <c r="E110" t="s">
        <v>15</v>
      </c>
      <c r="F110" t="s">
        <v>15</v>
      </c>
      <c r="G110">
        <v>1</v>
      </c>
      <c r="H110">
        <v>3.9</v>
      </c>
      <c r="I110" t="s">
        <v>15</v>
      </c>
      <c r="J110" t="s">
        <v>15</v>
      </c>
      <c r="K110" s="1" t="s">
        <v>42</v>
      </c>
      <c r="L110" t="s">
        <v>186</v>
      </c>
      <c r="M110" t="str">
        <f t="shared" si="2"/>
        <v>Maxillaria sp.</v>
      </c>
      <c r="N110" t="s">
        <v>155</v>
      </c>
      <c r="S110">
        <f t="shared" si="3"/>
        <v>1</v>
      </c>
    </row>
    <row r="111" spans="1:19" x14ac:dyDescent="0.2">
      <c r="A111" t="s">
        <v>13</v>
      </c>
      <c r="B111" t="s">
        <v>128</v>
      </c>
      <c r="C111">
        <v>-8.5921999999999998E-2</v>
      </c>
      <c r="D111">
        <v>-78.761849999999995</v>
      </c>
      <c r="E111" t="s">
        <v>15</v>
      </c>
      <c r="F111" t="s">
        <v>15</v>
      </c>
      <c r="G111">
        <v>1</v>
      </c>
      <c r="H111">
        <v>4.5999999999999996</v>
      </c>
      <c r="I111" t="s">
        <v>15</v>
      </c>
      <c r="J111" t="s">
        <v>15</v>
      </c>
      <c r="K111" s="1" t="s">
        <v>42</v>
      </c>
      <c r="L111" t="s">
        <v>186</v>
      </c>
      <c r="M111" t="str">
        <f t="shared" si="2"/>
        <v>Maxillaria sp.</v>
      </c>
      <c r="N111" t="s">
        <v>155</v>
      </c>
      <c r="S111">
        <f t="shared" si="3"/>
        <v>1</v>
      </c>
    </row>
    <row r="112" spans="1:19" x14ac:dyDescent="0.2">
      <c r="A112" t="s">
        <v>13</v>
      </c>
      <c r="B112" t="s">
        <v>156</v>
      </c>
      <c r="C112">
        <v>-0.59706979999999998</v>
      </c>
      <c r="D112">
        <v>-77.894572999999994</v>
      </c>
      <c r="E112" t="s">
        <v>15</v>
      </c>
      <c r="F112" t="s">
        <v>15</v>
      </c>
      <c r="G112">
        <v>1</v>
      </c>
      <c r="H112">
        <v>3</v>
      </c>
      <c r="I112" t="s">
        <v>15</v>
      </c>
      <c r="J112" t="s">
        <v>15</v>
      </c>
      <c r="K112" t="s">
        <v>157</v>
      </c>
      <c r="L112" t="s">
        <v>186</v>
      </c>
      <c r="M112" t="str">
        <f t="shared" si="2"/>
        <v>Ida sp.</v>
      </c>
      <c r="N112" t="s">
        <v>158</v>
      </c>
      <c r="S112">
        <f t="shared" si="3"/>
        <v>2</v>
      </c>
    </row>
    <row r="113" spans="1:19" x14ac:dyDescent="0.2">
      <c r="A113" t="s">
        <v>13</v>
      </c>
      <c r="B113" t="s">
        <v>156</v>
      </c>
      <c r="C113">
        <v>-0.59556880000000001</v>
      </c>
      <c r="D113">
        <v>-77.894056000000006</v>
      </c>
      <c r="E113" t="s">
        <v>15</v>
      </c>
      <c r="F113" t="s">
        <v>15</v>
      </c>
      <c r="G113">
        <v>1</v>
      </c>
      <c r="H113" t="s">
        <v>15</v>
      </c>
      <c r="I113" t="s">
        <v>15</v>
      </c>
      <c r="J113" t="s">
        <v>15</v>
      </c>
      <c r="K113" t="s">
        <v>157</v>
      </c>
      <c r="L113" t="s">
        <v>186</v>
      </c>
      <c r="M113" t="str">
        <f t="shared" si="2"/>
        <v>Ida sp.</v>
      </c>
      <c r="N113" t="s">
        <v>159</v>
      </c>
      <c r="S113">
        <f t="shared" si="3"/>
        <v>2</v>
      </c>
    </row>
    <row r="114" spans="1:19" x14ac:dyDescent="0.2">
      <c r="A114" t="s">
        <v>13</v>
      </c>
      <c r="B114" t="s">
        <v>156</v>
      </c>
      <c r="C114">
        <v>-0.59583419999999998</v>
      </c>
      <c r="D114">
        <v>-77.894057000000004</v>
      </c>
      <c r="E114" t="s">
        <v>15</v>
      </c>
      <c r="F114" t="s">
        <v>15</v>
      </c>
      <c r="G114">
        <v>1</v>
      </c>
      <c r="H114">
        <v>2</v>
      </c>
      <c r="I114" t="s">
        <v>15</v>
      </c>
      <c r="J114" t="s">
        <v>15</v>
      </c>
      <c r="K114" t="s">
        <v>157</v>
      </c>
      <c r="L114" t="s">
        <v>186</v>
      </c>
      <c r="M114" t="str">
        <f t="shared" si="2"/>
        <v>Ida sp.</v>
      </c>
      <c r="N114" t="s">
        <v>160</v>
      </c>
      <c r="S114">
        <f t="shared" si="3"/>
        <v>2</v>
      </c>
    </row>
    <row r="115" spans="1:19" x14ac:dyDescent="0.2">
      <c r="A115" t="s">
        <v>13</v>
      </c>
      <c r="B115" t="s">
        <v>156</v>
      </c>
      <c r="C115">
        <v>-0.59583419999999998</v>
      </c>
      <c r="D115">
        <v>-77.894057000000004</v>
      </c>
      <c r="E115" t="s">
        <v>15</v>
      </c>
      <c r="F115" t="s">
        <v>15</v>
      </c>
      <c r="G115">
        <v>1</v>
      </c>
      <c r="H115">
        <v>30</v>
      </c>
      <c r="I115" t="s">
        <v>15</v>
      </c>
      <c r="J115" t="s">
        <v>15</v>
      </c>
      <c r="K115" t="s">
        <v>157</v>
      </c>
      <c r="L115" t="s">
        <v>186</v>
      </c>
      <c r="M115" t="str">
        <f t="shared" si="2"/>
        <v>Ida sp.</v>
      </c>
      <c r="N115" t="s">
        <v>160</v>
      </c>
      <c r="S115">
        <f t="shared" si="3"/>
        <v>2</v>
      </c>
    </row>
    <row r="116" spans="1:19" x14ac:dyDescent="0.2">
      <c r="A116" t="s">
        <v>13</v>
      </c>
      <c r="B116" t="s">
        <v>156</v>
      </c>
      <c r="C116">
        <v>-0.59583419999999998</v>
      </c>
      <c r="D116">
        <v>-77.894057000000004</v>
      </c>
      <c r="E116" t="s">
        <v>15</v>
      </c>
      <c r="F116" t="s">
        <v>15</v>
      </c>
      <c r="G116">
        <v>1</v>
      </c>
      <c r="H116">
        <v>15</v>
      </c>
      <c r="I116" t="s">
        <v>15</v>
      </c>
      <c r="J116" t="s">
        <v>15</v>
      </c>
      <c r="K116" t="s">
        <v>157</v>
      </c>
      <c r="L116" t="s">
        <v>186</v>
      </c>
      <c r="M116" t="str">
        <f t="shared" si="2"/>
        <v>Ida sp.</v>
      </c>
      <c r="N116" t="s">
        <v>160</v>
      </c>
      <c r="S116">
        <f t="shared" si="3"/>
        <v>2</v>
      </c>
    </row>
    <row r="117" spans="1:19" x14ac:dyDescent="0.2">
      <c r="A117" t="s">
        <v>13</v>
      </c>
      <c r="B117" t="s">
        <v>156</v>
      </c>
      <c r="C117">
        <v>-0.59583419999999998</v>
      </c>
      <c r="D117">
        <v>-77.894057000000004</v>
      </c>
      <c r="E117" t="s">
        <v>15</v>
      </c>
      <c r="F117" t="s">
        <v>15</v>
      </c>
      <c r="G117">
        <v>1</v>
      </c>
      <c r="H117">
        <v>2</v>
      </c>
      <c r="I117" t="s">
        <v>15</v>
      </c>
      <c r="J117" t="s">
        <v>15</v>
      </c>
      <c r="K117" t="s">
        <v>157</v>
      </c>
      <c r="L117" t="s">
        <v>186</v>
      </c>
      <c r="M117" t="str">
        <f t="shared" si="2"/>
        <v>Ida sp.</v>
      </c>
      <c r="N117" t="s">
        <v>160</v>
      </c>
      <c r="S117">
        <f t="shared" si="3"/>
        <v>2</v>
      </c>
    </row>
    <row r="118" spans="1:19" x14ac:dyDescent="0.2">
      <c r="A118" t="s">
        <v>13</v>
      </c>
      <c r="B118" t="s">
        <v>156</v>
      </c>
      <c r="C118">
        <v>-0.59583419999999998</v>
      </c>
      <c r="D118">
        <v>-77.894057000000004</v>
      </c>
      <c r="E118" t="s">
        <v>15</v>
      </c>
      <c r="F118" t="s">
        <v>15</v>
      </c>
      <c r="G118">
        <v>1</v>
      </c>
      <c r="H118">
        <v>3</v>
      </c>
      <c r="I118" t="s">
        <v>15</v>
      </c>
      <c r="J118" t="s">
        <v>15</v>
      </c>
      <c r="K118" t="s">
        <v>157</v>
      </c>
      <c r="L118" t="s">
        <v>186</v>
      </c>
      <c r="M118" t="str">
        <f t="shared" si="2"/>
        <v>Ida sp.</v>
      </c>
      <c r="N118" t="s">
        <v>160</v>
      </c>
      <c r="S118">
        <f t="shared" si="3"/>
        <v>2</v>
      </c>
    </row>
    <row r="119" spans="1:19" x14ac:dyDescent="0.2">
      <c r="A119" t="s">
        <v>13</v>
      </c>
      <c r="B119" t="s">
        <v>156</v>
      </c>
      <c r="C119">
        <v>-0.59192920000000004</v>
      </c>
      <c r="D119">
        <v>-77.890810999999999</v>
      </c>
      <c r="E119" t="s">
        <v>15</v>
      </c>
      <c r="F119" t="s">
        <v>15</v>
      </c>
      <c r="G119">
        <v>1</v>
      </c>
      <c r="H119">
        <v>1</v>
      </c>
      <c r="I119" t="s">
        <v>15</v>
      </c>
      <c r="J119" t="s">
        <v>15</v>
      </c>
      <c r="K119" t="s">
        <v>157</v>
      </c>
      <c r="L119" t="s">
        <v>186</v>
      </c>
      <c r="M119" t="str">
        <f t="shared" si="2"/>
        <v>Ida sp.</v>
      </c>
      <c r="N119" t="s">
        <v>161</v>
      </c>
      <c r="S119">
        <f t="shared" si="3"/>
        <v>2</v>
      </c>
    </row>
    <row r="120" spans="1:19" x14ac:dyDescent="0.2">
      <c r="A120" t="s">
        <v>13</v>
      </c>
      <c r="B120" t="s">
        <v>156</v>
      </c>
      <c r="C120">
        <v>-0.59192920000000004</v>
      </c>
      <c r="D120">
        <v>-77.890810999999999</v>
      </c>
      <c r="E120" t="s">
        <v>15</v>
      </c>
      <c r="F120" t="s">
        <v>15</v>
      </c>
      <c r="G120">
        <v>1</v>
      </c>
      <c r="H120">
        <v>2</v>
      </c>
      <c r="I120" t="s">
        <v>15</v>
      </c>
      <c r="J120" t="s">
        <v>15</v>
      </c>
      <c r="K120" t="s">
        <v>157</v>
      </c>
      <c r="L120" t="s">
        <v>186</v>
      </c>
      <c r="M120" t="str">
        <f t="shared" si="2"/>
        <v>Ida sp.</v>
      </c>
      <c r="N120" t="s">
        <v>161</v>
      </c>
      <c r="S120">
        <f t="shared" si="3"/>
        <v>2</v>
      </c>
    </row>
    <row r="121" spans="1:19" x14ac:dyDescent="0.2">
      <c r="A121" t="s">
        <v>13</v>
      </c>
      <c r="B121" t="s">
        <v>156</v>
      </c>
      <c r="C121">
        <v>-0.59192920000000004</v>
      </c>
      <c r="D121">
        <v>-77.890810999999999</v>
      </c>
      <c r="E121" t="s">
        <v>15</v>
      </c>
      <c r="F121" t="s">
        <v>15</v>
      </c>
      <c r="G121">
        <v>1</v>
      </c>
      <c r="H121">
        <v>6</v>
      </c>
      <c r="I121" t="s">
        <v>15</v>
      </c>
      <c r="J121" t="s">
        <v>15</v>
      </c>
      <c r="K121" t="s">
        <v>157</v>
      </c>
      <c r="L121" t="s">
        <v>186</v>
      </c>
      <c r="M121" t="str">
        <f t="shared" si="2"/>
        <v>Ida sp.</v>
      </c>
      <c r="N121" t="s">
        <v>161</v>
      </c>
      <c r="S121">
        <f t="shared" si="3"/>
        <v>2</v>
      </c>
    </row>
    <row r="122" spans="1:19" x14ac:dyDescent="0.2">
      <c r="A122" t="s">
        <v>13</v>
      </c>
      <c r="B122" t="s">
        <v>156</v>
      </c>
      <c r="C122">
        <v>-0.59192920000000004</v>
      </c>
      <c r="D122">
        <v>-77.890810999999999</v>
      </c>
      <c r="E122" t="s">
        <v>15</v>
      </c>
      <c r="F122" t="s">
        <v>15</v>
      </c>
      <c r="G122">
        <v>1</v>
      </c>
      <c r="H122">
        <v>22</v>
      </c>
      <c r="I122" t="s">
        <v>15</v>
      </c>
      <c r="J122" t="s">
        <v>15</v>
      </c>
      <c r="K122" t="s">
        <v>157</v>
      </c>
      <c r="L122" t="s">
        <v>186</v>
      </c>
      <c r="M122" t="str">
        <f t="shared" si="2"/>
        <v>Ida sp.</v>
      </c>
      <c r="N122" t="s">
        <v>161</v>
      </c>
      <c r="S122">
        <f t="shared" si="3"/>
        <v>2</v>
      </c>
    </row>
    <row r="123" spans="1:19" x14ac:dyDescent="0.2">
      <c r="A123" t="s">
        <v>13</v>
      </c>
      <c r="B123" t="s">
        <v>156</v>
      </c>
      <c r="C123">
        <v>-0.59862110000000002</v>
      </c>
      <c r="D123">
        <v>-77.894486000000001</v>
      </c>
      <c r="E123" t="s">
        <v>15</v>
      </c>
      <c r="F123" t="s">
        <v>15</v>
      </c>
      <c r="G123">
        <v>1</v>
      </c>
      <c r="H123">
        <v>5</v>
      </c>
      <c r="I123" t="s">
        <v>15</v>
      </c>
      <c r="J123" t="s">
        <v>15</v>
      </c>
      <c r="K123" t="s">
        <v>157</v>
      </c>
      <c r="L123" t="s">
        <v>186</v>
      </c>
      <c r="M123" t="str">
        <f t="shared" si="2"/>
        <v>Ida sp.</v>
      </c>
      <c r="N123" t="s">
        <v>162</v>
      </c>
      <c r="S123">
        <f t="shared" si="3"/>
        <v>2</v>
      </c>
    </row>
  </sheetData>
  <autoFilter ref="A1:N123" xr:uid="{BF5B0B11-D1B9-D840-BB7F-5945E7CCF5F1}">
    <filterColumn colId="12">
      <colorFilter dxfId="1"/>
    </filterColumn>
  </autoFilter>
  <conditionalFormatting sqref="M2:M123">
    <cfRule type="expression" dxfId="0" priority="1">
      <formula>COUNTIF($Q$2:$Q$26, TRIM(K2))&gt;0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2845E-B2E5-5848-AACC-6A10E01BD50F}">
  <dimension ref="A1:N58"/>
  <sheetViews>
    <sheetView tabSelected="1" workbookViewId="0">
      <selection activeCell="D6" sqref="D6"/>
    </sheetView>
  </sheetViews>
  <sheetFormatPr baseColWidth="10" defaultRowHeight="16" x14ac:dyDescent="0.2"/>
  <cols>
    <col min="1" max="1" width="16.33203125" bestFit="1" customWidth="1"/>
    <col min="13" max="13" width="20.5" bestFit="1" customWidth="1"/>
  </cols>
  <sheetData>
    <row r="1" spans="1:14" x14ac:dyDescent="0.2">
      <c r="A1" t="s">
        <v>0</v>
      </c>
      <c r="B1" t="s">
        <v>1</v>
      </c>
      <c r="C1" t="s">
        <v>2</v>
      </c>
      <c r="D1" t="s">
        <v>3</v>
      </c>
      <c r="E1" t="s">
        <v>4</v>
      </c>
      <c r="F1" t="s">
        <v>5</v>
      </c>
      <c r="G1" t="s">
        <v>6</v>
      </c>
      <c r="H1" t="s">
        <v>7</v>
      </c>
      <c r="I1" t="s">
        <v>8</v>
      </c>
      <c r="J1" t="s">
        <v>9</v>
      </c>
      <c r="K1" t="s">
        <v>10</v>
      </c>
      <c r="L1" t="s">
        <v>11</v>
      </c>
      <c r="M1" t="s">
        <v>188</v>
      </c>
      <c r="N1" t="s">
        <v>12</v>
      </c>
    </row>
    <row r="2" spans="1:14" x14ac:dyDescent="0.2">
      <c r="A2" t="s">
        <v>13</v>
      </c>
      <c r="B2" t="s">
        <v>14</v>
      </c>
      <c r="C2">
        <v>0.12149699999999999</v>
      </c>
      <c r="D2">
        <v>-78.629857000000001</v>
      </c>
      <c r="E2">
        <v>1326</v>
      </c>
      <c r="F2" t="s">
        <v>15</v>
      </c>
      <c r="G2">
        <v>1</v>
      </c>
      <c r="H2">
        <v>4.05</v>
      </c>
      <c r="I2">
        <v>6.8</v>
      </c>
      <c r="J2" t="s">
        <v>27</v>
      </c>
      <c r="K2" t="s">
        <v>42</v>
      </c>
      <c r="L2" t="s">
        <v>196</v>
      </c>
      <c r="M2" t="s">
        <v>229</v>
      </c>
      <c r="N2" t="s">
        <v>26</v>
      </c>
    </row>
    <row r="3" spans="1:14" x14ac:dyDescent="0.2">
      <c r="A3" t="s">
        <v>13</v>
      </c>
      <c r="B3" t="s">
        <v>14</v>
      </c>
      <c r="C3">
        <v>0.12131699999999999</v>
      </c>
      <c r="D3">
        <v>-78.630227000000005</v>
      </c>
      <c r="E3">
        <v>1327</v>
      </c>
      <c r="F3" t="s">
        <v>15</v>
      </c>
      <c r="G3">
        <v>1</v>
      </c>
      <c r="H3">
        <v>2.1</v>
      </c>
      <c r="I3">
        <v>16</v>
      </c>
      <c r="J3" t="s">
        <v>15</v>
      </c>
      <c r="K3" t="s">
        <v>42</v>
      </c>
      <c r="L3" t="s">
        <v>196</v>
      </c>
      <c r="M3" t="s">
        <v>229</v>
      </c>
      <c r="N3" t="s">
        <v>30</v>
      </c>
    </row>
    <row r="4" spans="1:14" x14ac:dyDescent="0.2">
      <c r="A4" t="s">
        <v>13</v>
      </c>
      <c r="B4" t="s">
        <v>14</v>
      </c>
      <c r="C4">
        <v>0.12137299999999999</v>
      </c>
      <c r="D4">
        <v>-78.630176000000006</v>
      </c>
      <c r="E4">
        <v>1330</v>
      </c>
      <c r="F4" t="s">
        <v>15</v>
      </c>
      <c r="G4">
        <v>1</v>
      </c>
      <c r="H4">
        <v>5.5</v>
      </c>
      <c r="I4">
        <v>16</v>
      </c>
      <c r="J4" t="s">
        <v>31</v>
      </c>
      <c r="K4" t="s">
        <v>42</v>
      </c>
      <c r="L4" t="s">
        <v>196</v>
      </c>
      <c r="M4" t="s">
        <v>229</v>
      </c>
      <c r="N4" t="s">
        <v>32</v>
      </c>
    </row>
    <row r="5" spans="1:14" x14ac:dyDescent="0.2">
      <c r="A5" t="s">
        <v>13</v>
      </c>
      <c r="B5" t="s">
        <v>14</v>
      </c>
      <c r="C5">
        <v>0.120044</v>
      </c>
      <c r="D5">
        <v>-78.632135000000005</v>
      </c>
      <c r="E5">
        <v>1341</v>
      </c>
      <c r="F5" t="s">
        <v>15</v>
      </c>
      <c r="G5">
        <v>1</v>
      </c>
      <c r="H5">
        <v>5.3</v>
      </c>
      <c r="I5">
        <v>14</v>
      </c>
      <c r="J5" t="s">
        <v>47</v>
      </c>
      <c r="K5" t="s">
        <v>42</v>
      </c>
      <c r="L5" t="s">
        <v>205</v>
      </c>
      <c r="M5" t="s">
        <v>230</v>
      </c>
      <c r="N5" t="s">
        <v>48</v>
      </c>
    </row>
    <row r="6" spans="1:14" x14ac:dyDescent="0.2">
      <c r="A6" t="s">
        <v>13</v>
      </c>
      <c r="B6" t="s">
        <v>14</v>
      </c>
      <c r="C6">
        <v>0.119618</v>
      </c>
      <c r="D6">
        <v>-78.632611999999995</v>
      </c>
      <c r="E6">
        <v>1351</v>
      </c>
      <c r="F6" t="s">
        <v>15</v>
      </c>
      <c r="G6">
        <v>1</v>
      </c>
      <c r="H6">
        <v>5.0999999999999996</v>
      </c>
      <c r="I6">
        <v>16.8</v>
      </c>
      <c r="J6" t="s">
        <v>53</v>
      </c>
      <c r="K6" t="s">
        <v>42</v>
      </c>
      <c r="L6" t="s">
        <v>183</v>
      </c>
      <c r="M6" t="s">
        <v>231</v>
      </c>
      <c r="N6" t="s">
        <v>52</v>
      </c>
    </row>
    <row r="7" spans="1:14" x14ac:dyDescent="0.2">
      <c r="A7" t="s">
        <v>13</v>
      </c>
      <c r="B7" t="s">
        <v>14</v>
      </c>
      <c r="C7">
        <v>0.119618</v>
      </c>
      <c r="D7">
        <v>-78.632611999999995</v>
      </c>
      <c r="E7">
        <v>1351</v>
      </c>
      <c r="F7" t="s">
        <v>15</v>
      </c>
      <c r="G7">
        <v>1</v>
      </c>
      <c r="H7">
        <v>5.4</v>
      </c>
      <c r="I7">
        <v>16.8</v>
      </c>
      <c r="J7" t="s">
        <v>54</v>
      </c>
      <c r="K7" t="s">
        <v>42</v>
      </c>
      <c r="L7" t="s">
        <v>183</v>
      </c>
      <c r="M7" t="s">
        <v>231</v>
      </c>
      <c r="N7" t="s">
        <v>52</v>
      </c>
    </row>
    <row r="8" spans="1:14" x14ac:dyDescent="0.2">
      <c r="A8" t="s">
        <v>13</v>
      </c>
      <c r="B8" t="s">
        <v>14</v>
      </c>
      <c r="C8">
        <v>0.119618</v>
      </c>
      <c r="D8">
        <v>-78.632611999999995</v>
      </c>
      <c r="E8">
        <v>1351</v>
      </c>
      <c r="F8" t="s">
        <v>15</v>
      </c>
      <c r="G8">
        <v>1</v>
      </c>
      <c r="H8">
        <v>2.9</v>
      </c>
      <c r="I8">
        <v>16.8</v>
      </c>
      <c r="J8" t="s">
        <v>56</v>
      </c>
      <c r="K8" t="s">
        <v>42</v>
      </c>
      <c r="L8" t="s">
        <v>205</v>
      </c>
      <c r="M8" t="s">
        <v>230</v>
      </c>
      <c r="N8" t="s">
        <v>52</v>
      </c>
    </row>
    <row r="9" spans="1:14" x14ac:dyDescent="0.2">
      <c r="A9" t="s">
        <v>13</v>
      </c>
      <c r="B9" t="s">
        <v>62</v>
      </c>
      <c r="C9">
        <v>8.9339999999999992E-3</v>
      </c>
      <c r="D9">
        <v>-78.824791000000005</v>
      </c>
      <c r="E9">
        <v>1289</v>
      </c>
      <c r="F9" t="s">
        <v>15</v>
      </c>
      <c r="G9">
        <v>1</v>
      </c>
      <c r="H9">
        <v>6.5</v>
      </c>
      <c r="I9" t="s">
        <v>15</v>
      </c>
      <c r="J9" t="s">
        <v>15</v>
      </c>
      <c r="K9" t="s">
        <v>42</v>
      </c>
      <c r="L9" t="s">
        <v>183</v>
      </c>
      <c r="M9" t="s">
        <v>231</v>
      </c>
      <c r="N9" t="s">
        <v>68</v>
      </c>
    </row>
    <row r="10" spans="1:14" x14ac:dyDescent="0.2">
      <c r="A10" t="s">
        <v>13</v>
      </c>
      <c r="B10" t="s">
        <v>62</v>
      </c>
      <c r="C10">
        <v>9.9290000000000003E-3</v>
      </c>
      <c r="D10">
        <v>-78.824687999999995</v>
      </c>
      <c r="E10">
        <v>1337</v>
      </c>
      <c r="F10" t="s">
        <v>15</v>
      </c>
      <c r="G10">
        <v>1</v>
      </c>
      <c r="H10">
        <v>2.8</v>
      </c>
      <c r="I10" t="s">
        <v>15</v>
      </c>
      <c r="J10" t="s">
        <v>15</v>
      </c>
      <c r="K10" t="s">
        <v>42</v>
      </c>
      <c r="L10" t="s">
        <v>184</v>
      </c>
      <c r="M10" t="s">
        <v>232</v>
      </c>
      <c r="N10" t="s">
        <v>70</v>
      </c>
    </row>
    <row r="11" spans="1:14" x14ac:dyDescent="0.2">
      <c r="A11" t="s">
        <v>13</v>
      </c>
      <c r="B11" t="s">
        <v>71</v>
      </c>
      <c r="C11">
        <v>0.165851</v>
      </c>
      <c r="D11">
        <v>-78.878045999999998</v>
      </c>
      <c r="E11">
        <v>923</v>
      </c>
      <c r="F11" t="s">
        <v>15</v>
      </c>
      <c r="G11">
        <v>1</v>
      </c>
      <c r="H11">
        <v>6.3</v>
      </c>
      <c r="I11">
        <v>15</v>
      </c>
      <c r="J11" t="s">
        <v>15</v>
      </c>
      <c r="K11" t="s">
        <v>42</v>
      </c>
      <c r="L11" t="s">
        <v>186</v>
      </c>
      <c r="M11" t="s">
        <v>18</v>
      </c>
      <c r="N11" t="s">
        <v>74</v>
      </c>
    </row>
    <row r="12" spans="1:14" x14ac:dyDescent="0.2">
      <c r="A12" t="s">
        <v>13</v>
      </c>
      <c r="B12" t="s">
        <v>71</v>
      </c>
      <c r="C12">
        <v>0.16574800000000001</v>
      </c>
      <c r="D12">
        <v>-78.878091999999995</v>
      </c>
      <c r="E12">
        <v>923</v>
      </c>
      <c r="F12" t="s">
        <v>15</v>
      </c>
      <c r="G12">
        <v>1</v>
      </c>
      <c r="H12">
        <v>15.3</v>
      </c>
      <c r="I12">
        <v>22</v>
      </c>
      <c r="J12" t="s">
        <v>76</v>
      </c>
      <c r="K12" t="s">
        <v>42</v>
      </c>
      <c r="L12" t="s">
        <v>186</v>
      </c>
      <c r="M12" t="s">
        <v>18</v>
      </c>
      <c r="N12" t="s">
        <v>75</v>
      </c>
    </row>
    <row r="13" spans="1:14" x14ac:dyDescent="0.2">
      <c r="A13" t="s">
        <v>13</v>
      </c>
      <c r="B13" t="s">
        <v>71</v>
      </c>
      <c r="C13">
        <v>0.16574800000000001</v>
      </c>
      <c r="D13">
        <v>-78.878091999999995</v>
      </c>
      <c r="E13">
        <v>923</v>
      </c>
      <c r="F13" t="s">
        <v>15</v>
      </c>
      <c r="G13">
        <v>1</v>
      </c>
      <c r="H13">
        <v>15.4</v>
      </c>
      <c r="I13">
        <v>22</v>
      </c>
      <c r="J13" t="s">
        <v>77</v>
      </c>
      <c r="K13" t="s">
        <v>42</v>
      </c>
      <c r="L13" t="s">
        <v>186</v>
      </c>
      <c r="M13" t="s">
        <v>18</v>
      </c>
      <c r="N13" t="s">
        <v>75</v>
      </c>
    </row>
    <row r="14" spans="1:14" x14ac:dyDescent="0.2">
      <c r="A14" t="s">
        <v>13</v>
      </c>
      <c r="B14" t="s">
        <v>71</v>
      </c>
      <c r="C14">
        <v>0.16652900000000001</v>
      </c>
      <c r="D14">
        <v>-78.877121000000002</v>
      </c>
      <c r="E14">
        <v>950</v>
      </c>
      <c r="F14" t="s">
        <v>15</v>
      </c>
      <c r="G14">
        <v>1</v>
      </c>
      <c r="H14">
        <v>9.1</v>
      </c>
      <c r="I14">
        <v>14.6</v>
      </c>
      <c r="J14" t="s">
        <v>86</v>
      </c>
      <c r="K14" t="s">
        <v>42</v>
      </c>
      <c r="L14" t="s">
        <v>204</v>
      </c>
      <c r="M14" t="s">
        <v>233</v>
      </c>
      <c r="N14" t="s">
        <v>87</v>
      </c>
    </row>
    <row r="15" spans="1:14" x14ac:dyDescent="0.2">
      <c r="A15" t="s">
        <v>13</v>
      </c>
      <c r="B15" t="s">
        <v>71</v>
      </c>
      <c r="C15">
        <v>0.166384</v>
      </c>
      <c r="D15">
        <v>-78.875797000000006</v>
      </c>
      <c r="E15">
        <v>985</v>
      </c>
      <c r="F15" t="s">
        <v>15</v>
      </c>
      <c r="G15">
        <v>1</v>
      </c>
      <c r="H15">
        <v>17</v>
      </c>
      <c r="I15" t="s">
        <v>15</v>
      </c>
      <c r="J15" t="s">
        <v>88</v>
      </c>
      <c r="K15" t="s">
        <v>42</v>
      </c>
      <c r="L15" t="s">
        <v>206</v>
      </c>
      <c r="M15" t="s">
        <v>234</v>
      </c>
      <c r="N15" t="s">
        <v>89</v>
      </c>
    </row>
    <row r="16" spans="1:14" x14ac:dyDescent="0.2">
      <c r="A16" t="s">
        <v>13</v>
      </c>
      <c r="B16" t="s">
        <v>71</v>
      </c>
      <c r="C16">
        <v>0.165662</v>
      </c>
      <c r="D16">
        <v>-78.873239999999996</v>
      </c>
      <c r="E16">
        <v>999</v>
      </c>
      <c r="F16" t="s">
        <v>15</v>
      </c>
      <c r="G16">
        <v>1</v>
      </c>
      <c r="H16">
        <v>15.9</v>
      </c>
      <c r="I16" t="s">
        <v>15</v>
      </c>
      <c r="J16" t="s">
        <v>92</v>
      </c>
      <c r="K16" t="s">
        <v>42</v>
      </c>
      <c r="L16" t="s">
        <v>207</v>
      </c>
      <c r="M16" t="s">
        <v>235</v>
      </c>
      <c r="N16" t="s">
        <v>93</v>
      </c>
    </row>
    <row r="17" spans="1:14" x14ac:dyDescent="0.2">
      <c r="A17" t="s">
        <v>13</v>
      </c>
      <c r="B17" t="s">
        <v>71</v>
      </c>
      <c r="C17">
        <v>0.166488</v>
      </c>
      <c r="D17">
        <v>-78.880054999999999</v>
      </c>
      <c r="E17">
        <v>912</v>
      </c>
      <c r="F17" t="s">
        <v>15</v>
      </c>
      <c r="G17">
        <v>1</v>
      </c>
      <c r="H17">
        <v>8.8000000000000007</v>
      </c>
      <c r="I17">
        <v>20.7</v>
      </c>
      <c r="J17" t="s">
        <v>98</v>
      </c>
      <c r="K17" t="s">
        <v>42</v>
      </c>
      <c r="L17" t="s">
        <v>199</v>
      </c>
      <c r="M17" t="s">
        <v>236</v>
      </c>
      <c r="N17" t="s">
        <v>99</v>
      </c>
    </row>
    <row r="18" spans="1:14" x14ac:dyDescent="0.2">
      <c r="A18" t="s">
        <v>13</v>
      </c>
      <c r="B18" t="s">
        <v>71</v>
      </c>
      <c r="C18">
        <v>0.16653699999999999</v>
      </c>
      <c r="D18">
        <v>-78.880078999999995</v>
      </c>
      <c r="E18">
        <v>915</v>
      </c>
      <c r="F18" t="s">
        <v>15</v>
      </c>
      <c r="G18">
        <v>1</v>
      </c>
      <c r="H18">
        <v>8.9</v>
      </c>
      <c r="I18">
        <v>10.6</v>
      </c>
      <c r="J18" t="s">
        <v>100</v>
      </c>
      <c r="K18" t="s">
        <v>42</v>
      </c>
      <c r="L18" t="s">
        <v>205</v>
      </c>
      <c r="M18" t="s">
        <v>230</v>
      </c>
      <c r="N18" t="s">
        <v>101</v>
      </c>
    </row>
    <row r="19" spans="1:14" x14ac:dyDescent="0.2">
      <c r="A19" t="s">
        <v>13</v>
      </c>
      <c r="B19" t="s">
        <v>71</v>
      </c>
      <c r="C19">
        <v>0.16653699999999999</v>
      </c>
      <c r="D19">
        <v>-78.880078999999995</v>
      </c>
      <c r="E19">
        <v>915</v>
      </c>
      <c r="F19" t="s">
        <v>15</v>
      </c>
      <c r="G19">
        <v>1</v>
      </c>
      <c r="H19">
        <v>8.4</v>
      </c>
      <c r="I19">
        <v>10.6</v>
      </c>
      <c r="J19" t="s">
        <v>102</v>
      </c>
      <c r="K19" t="s">
        <v>42</v>
      </c>
      <c r="L19" t="s">
        <v>206</v>
      </c>
      <c r="M19" t="s">
        <v>234</v>
      </c>
      <c r="N19" t="s">
        <v>101</v>
      </c>
    </row>
    <row r="20" spans="1:14" x14ac:dyDescent="0.2">
      <c r="A20" t="s">
        <v>13</v>
      </c>
      <c r="B20" t="s">
        <v>71</v>
      </c>
      <c r="C20">
        <v>0.16653699999999999</v>
      </c>
      <c r="D20">
        <v>-78.880078999999995</v>
      </c>
      <c r="E20">
        <v>915</v>
      </c>
      <c r="F20" t="s">
        <v>15</v>
      </c>
      <c r="G20">
        <v>1</v>
      </c>
      <c r="H20">
        <v>9.5</v>
      </c>
      <c r="I20">
        <v>10.6</v>
      </c>
      <c r="J20" t="s">
        <v>103</v>
      </c>
      <c r="K20" t="s">
        <v>42</v>
      </c>
      <c r="L20" t="s">
        <v>186</v>
      </c>
      <c r="M20" t="s">
        <v>18</v>
      </c>
      <c r="N20" t="s">
        <v>101</v>
      </c>
    </row>
    <row r="21" spans="1:14" x14ac:dyDescent="0.2">
      <c r="A21" t="s">
        <v>13</v>
      </c>
      <c r="B21" t="s">
        <v>71</v>
      </c>
      <c r="C21">
        <v>0.16653299999999999</v>
      </c>
      <c r="D21">
        <v>-78.880165000000005</v>
      </c>
      <c r="E21">
        <v>913</v>
      </c>
      <c r="F21" t="s">
        <v>15</v>
      </c>
      <c r="G21">
        <v>1</v>
      </c>
      <c r="H21">
        <v>8.5</v>
      </c>
      <c r="I21">
        <v>15.2</v>
      </c>
      <c r="J21" t="s">
        <v>104</v>
      </c>
      <c r="K21" t="s">
        <v>42</v>
      </c>
      <c r="L21" t="s">
        <v>205</v>
      </c>
      <c r="M21" t="s">
        <v>230</v>
      </c>
      <c r="N21" t="s">
        <v>105</v>
      </c>
    </row>
    <row r="22" spans="1:14" x14ac:dyDescent="0.2">
      <c r="A22" t="s">
        <v>13</v>
      </c>
      <c r="B22" t="s">
        <v>71</v>
      </c>
      <c r="C22">
        <v>0.16656599999999999</v>
      </c>
      <c r="D22">
        <v>-78.880358999999999</v>
      </c>
      <c r="E22">
        <v>915</v>
      </c>
      <c r="F22" t="s">
        <v>15</v>
      </c>
      <c r="G22">
        <v>2</v>
      </c>
      <c r="H22">
        <v>12.8</v>
      </c>
      <c r="I22">
        <v>19.899999999999999</v>
      </c>
      <c r="J22" t="s">
        <v>106</v>
      </c>
      <c r="K22" t="s">
        <v>42</v>
      </c>
      <c r="L22" t="s">
        <v>200</v>
      </c>
      <c r="M22" t="s">
        <v>237</v>
      </c>
      <c r="N22" t="s">
        <v>107</v>
      </c>
    </row>
    <row r="23" spans="1:14" x14ac:dyDescent="0.2">
      <c r="A23" t="s">
        <v>13</v>
      </c>
      <c r="B23" t="s">
        <v>71</v>
      </c>
      <c r="C23">
        <v>0.16667699999999999</v>
      </c>
      <c r="D23">
        <v>-78.880999000000003</v>
      </c>
      <c r="E23">
        <v>915</v>
      </c>
      <c r="F23" t="s">
        <v>15</v>
      </c>
      <c r="G23">
        <v>1</v>
      </c>
      <c r="H23">
        <v>14.1</v>
      </c>
      <c r="I23">
        <v>20</v>
      </c>
      <c r="J23" t="s">
        <v>116</v>
      </c>
      <c r="K23" t="s">
        <v>42</v>
      </c>
      <c r="L23" t="s">
        <v>186</v>
      </c>
      <c r="M23" t="s">
        <v>18</v>
      </c>
      <c r="N23" t="s">
        <v>115</v>
      </c>
    </row>
    <row r="24" spans="1:14" x14ac:dyDescent="0.2">
      <c r="A24" t="s">
        <v>13</v>
      </c>
      <c r="B24" t="s">
        <v>71</v>
      </c>
      <c r="C24">
        <v>0.16680800000000001</v>
      </c>
      <c r="D24">
        <v>-78.881097999999994</v>
      </c>
      <c r="E24">
        <v>919</v>
      </c>
      <c r="F24" t="s">
        <v>15</v>
      </c>
      <c r="G24">
        <v>1</v>
      </c>
      <c r="H24">
        <v>7.6</v>
      </c>
      <c r="I24">
        <v>17.8</v>
      </c>
      <c r="J24" t="s">
        <v>117</v>
      </c>
      <c r="K24" t="s">
        <v>42</v>
      </c>
      <c r="L24" t="s">
        <v>205</v>
      </c>
      <c r="M24" t="s">
        <v>230</v>
      </c>
      <c r="N24" t="s">
        <v>118</v>
      </c>
    </row>
    <row r="25" spans="1:14" x14ac:dyDescent="0.2">
      <c r="A25" t="s">
        <v>13</v>
      </c>
      <c r="B25" t="s">
        <v>71</v>
      </c>
      <c r="C25">
        <v>0.16680800000000001</v>
      </c>
      <c r="D25">
        <v>-78.881097999999994</v>
      </c>
      <c r="E25">
        <v>919</v>
      </c>
      <c r="F25" t="s">
        <v>15</v>
      </c>
      <c r="G25">
        <v>1</v>
      </c>
      <c r="H25">
        <v>9.1</v>
      </c>
      <c r="I25">
        <v>17.8</v>
      </c>
      <c r="J25" t="s">
        <v>119</v>
      </c>
      <c r="K25" t="s">
        <v>42</v>
      </c>
      <c r="L25" t="s">
        <v>204</v>
      </c>
      <c r="M25" t="s">
        <v>233</v>
      </c>
      <c r="N25" t="s">
        <v>118</v>
      </c>
    </row>
    <row r="26" spans="1:14" x14ac:dyDescent="0.2">
      <c r="A26" t="s">
        <v>13</v>
      </c>
      <c r="B26" t="s">
        <v>71</v>
      </c>
      <c r="C26">
        <v>0.166875</v>
      </c>
      <c r="D26">
        <v>-78.881275000000002</v>
      </c>
      <c r="E26">
        <v>922</v>
      </c>
      <c r="F26" t="s">
        <v>15</v>
      </c>
      <c r="G26">
        <v>1</v>
      </c>
      <c r="H26">
        <v>7.1</v>
      </c>
      <c r="I26">
        <v>21.2</v>
      </c>
      <c r="J26" t="s">
        <v>120</v>
      </c>
      <c r="K26" t="s">
        <v>42</v>
      </c>
      <c r="L26" t="s">
        <v>204</v>
      </c>
      <c r="M26" t="s">
        <v>233</v>
      </c>
      <c r="N26" t="s">
        <v>121</v>
      </c>
    </row>
    <row r="27" spans="1:14" x14ac:dyDescent="0.2">
      <c r="A27" t="s">
        <v>13</v>
      </c>
      <c r="B27" t="s">
        <v>71</v>
      </c>
      <c r="C27">
        <v>0.166875</v>
      </c>
      <c r="D27">
        <v>-78.881275000000002</v>
      </c>
      <c r="E27">
        <v>922</v>
      </c>
      <c r="F27" t="s">
        <v>15</v>
      </c>
      <c r="G27">
        <v>1</v>
      </c>
      <c r="H27">
        <v>5</v>
      </c>
      <c r="I27">
        <v>21.2</v>
      </c>
      <c r="J27" t="s">
        <v>123</v>
      </c>
      <c r="K27" t="s">
        <v>42</v>
      </c>
      <c r="L27" t="s">
        <v>200</v>
      </c>
      <c r="M27" t="s">
        <v>237</v>
      </c>
      <c r="N27" t="s">
        <v>121</v>
      </c>
    </row>
    <row r="28" spans="1:14" x14ac:dyDescent="0.2">
      <c r="A28" t="s">
        <v>13</v>
      </c>
      <c r="B28" t="s">
        <v>71</v>
      </c>
      <c r="C28">
        <v>0.16683000000000001</v>
      </c>
      <c r="D28">
        <v>-78.881349</v>
      </c>
      <c r="E28">
        <v>921</v>
      </c>
      <c r="F28" t="s">
        <v>15</v>
      </c>
      <c r="G28">
        <v>1</v>
      </c>
      <c r="H28">
        <v>13.6</v>
      </c>
      <c r="I28">
        <v>21.6</v>
      </c>
      <c r="J28" t="s">
        <v>124</v>
      </c>
      <c r="K28" t="s">
        <v>42</v>
      </c>
      <c r="L28" t="s">
        <v>204</v>
      </c>
      <c r="M28" t="s">
        <v>233</v>
      </c>
      <c r="N28" t="s">
        <v>125</v>
      </c>
    </row>
    <row r="29" spans="1:14" x14ac:dyDescent="0.2">
      <c r="A29" t="s">
        <v>13</v>
      </c>
      <c r="B29" t="s">
        <v>71</v>
      </c>
      <c r="C29">
        <v>0.16685800000000001</v>
      </c>
      <c r="D29">
        <v>-78.881461000000002</v>
      </c>
      <c r="E29">
        <v>921</v>
      </c>
      <c r="F29" t="s">
        <v>15</v>
      </c>
      <c r="G29">
        <v>1</v>
      </c>
      <c r="H29">
        <v>7.4</v>
      </c>
      <c r="I29">
        <v>16.100000000000001</v>
      </c>
      <c r="J29" t="s">
        <v>126</v>
      </c>
      <c r="K29" t="s">
        <v>42</v>
      </c>
      <c r="L29" t="s">
        <v>206</v>
      </c>
      <c r="M29" t="s">
        <v>234</v>
      </c>
      <c r="N29" t="s">
        <v>127</v>
      </c>
    </row>
    <row r="30" spans="1:14" x14ac:dyDescent="0.2">
      <c r="A30" t="s">
        <v>13</v>
      </c>
      <c r="B30" t="s">
        <v>128</v>
      </c>
      <c r="C30">
        <v>-7.9583605000000002E-2</v>
      </c>
      <c r="D30">
        <v>-78.760773</v>
      </c>
      <c r="E30" t="s">
        <v>15</v>
      </c>
      <c r="F30" t="s">
        <v>15</v>
      </c>
      <c r="G30">
        <v>1</v>
      </c>
      <c r="H30">
        <v>2.4</v>
      </c>
      <c r="I30">
        <v>21</v>
      </c>
      <c r="J30" t="s">
        <v>129</v>
      </c>
      <c r="K30" t="s">
        <v>42</v>
      </c>
      <c r="L30" t="s">
        <v>186</v>
      </c>
      <c r="M30" t="s">
        <v>18</v>
      </c>
      <c r="N30" t="s">
        <v>131</v>
      </c>
    </row>
    <row r="31" spans="1:14" x14ac:dyDescent="0.2">
      <c r="A31" t="s">
        <v>13</v>
      </c>
      <c r="B31" t="s">
        <v>128</v>
      </c>
      <c r="C31">
        <v>-8.0206124000000004E-2</v>
      </c>
      <c r="D31">
        <v>-78.761561</v>
      </c>
      <c r="E31" t="s">
        <v>15</v>
      </c>
      <c r="F31" t="s">
        <v>15</v>
      </c>
      <c r="G31">
        <v>1</v>
      </c>
      <c r="H31">
        <v>6.2</v>
      </c>
      <c r="I31">
        <v>35</v>
      </c>
      <c r="J31" t="s">
        <v>189</v>
      </c>
      <c r="K31" t="s">
        <v>42</v>
      </c>
      <c r="L31" t="s">
        <v>186</v>
      </c>
      <c r="M31" t="s">
        <v>18</v>
      </c>
      <c r="N31" t="s">
        <v>132</v>
      </c>
    </row>
    <row r="32" spans="1:14" x14ac:dyDescent="0.2">
      <c r="A32" t="s">
        <v>13</v>
      </c>
      <c r="B32" t="s">
        <v>128</v>
      </c>
      <c r="C32">
        <v>-8.0206124000000004E-2</v>
      </c>
      <c r="D32">
        <v>-78.761561</v>
      </c>
      <c r="E32" t="s">
        <v>15</v>
      </c>
      <c r="F32" t="s">
        <v>15</v>
      </c>
      <c r="G32">
        <v>1</v>
      </c>
      <c r="H32">
        <v>7.4</v>
      </c>
      <c r="I32">
        <v>35</v>
      </c>
      <c r="J32" t="s">
        <v>189</v>
      </c>
      <c r="K32" t="s">
        <v>42</v>
      </c>
      <c r="L32" t="s">
        <v>186</v>
      </c>
      <c r="M32" t="s">
        <v>18</v>
      </c>
      <c r="N32" t="s">
        <v>132</v>
      </c>
    </row>
    <row r="33" spans="1:14" x14ac:dyDescent="0.2">
      <c r="A33" t="s">
        <v>13</v>
      </c>
      <c r="B33" t="s">
        <v>128</v>
      </c>
      <c r="C33">
        <v>-8.0372113999999995E-2</v>
      </c>
      <c r="D33">
        <v>-78.761578</v>
      </c>
      <c r="E33" t="s">
        <v>15</v>
      </c>
      <c r="F33" t="s">
        <v>15</v>
      </c>
      <c r="G33">
        <v>1</v>
      </c>
      <c r="H33">
        <v>3.1</v>
      </c>
      <c r="I33" t="s">
        <v>15</v>
      </c>
      <c r="J33" t="s">
        <v>190</v>
      </c>
      <c r="K33" t="s">
        <v>42</v>
      </c>
      <c r="L33" t="s">
        <v>186</v>
      </c>
      <c r="M33" t="s">
        <v>18</v>
      </c>
      <c r="N33" t="s">
        <v>133</v>
      </c>
    </row>
    <row r="34" spans="1:14" x14ac:dyDescent="0.2">
      <c r="A34" t="s">
        <v>13</v>
      </c>
      <c r="B34" t="s">
        <v>128</v>
      </c>
      <c r="C34">
        <v>-8.0372113999999995E-2</v>
      </c>
      <c r="D34">
        <v>-78.761578</v>
      </c>
      <c r="E34" t="s">
        <v>15</v>
      </c>
      <c r="F34" t="s">
        <v>15</v>
      </c>
      <c r="G34">
        <v>1</v>
      </c>
      <c r="H34">
        <v>5.5</v>
      </c>
      <c r="I34" t="s">
        <v>15</v>
      </c>
      <c r="J34" t="s">
        <v>190</v>
      </c>
      <c r="K34" t="s">
        <v>42</v>
      </c>
      <c r="L34" t="s">
        <v>200</v>
      </c>
      <c r="M34" t="s">
        <v>237</v>
      </c>
      <c r="N34" t="s">
        <v>133</v>
      </c>
    </row>
    <row r="35" spans="1:14" x14ac:dyDescent="0.2">
      <c r="A35" t="s">
        <v>13</v>
      </c>
      <c r="B35" t="s">
        <v>128</v>
      </c>
      <c r="C35">
        <v>-8.0420531000000003E-2</v>
      </c>
      <c r="D35">
        <v>-78.761599000000004</v>
      </c>
      <c r="E35" t="s">
        <v>15</v>
      </c>
      <c r="F35" t="s">
        <v>15</v>
      </c>
      <c r="G35">
        <v>1</v>
      </c>
      <c r="H35">
        <v>6</v>
      </c>
      <c r="I35">
        <v>18</v>
      </c>
      <c r="J35" t="s">
        <v>191</v>
      </c>
      <c r="K35" t="s">
        <v>201</v>
      </c>
      <c r="L35" t="s">
        <v>196</v>
      </c>
      <c r="M35" t="s">
        <v>134</v>
      </c>
      <c r="N35" t="s">
        <v>135</v>
      </c>
    </row>
    <row r="36" spans="1:14" x14ac:dyDescent="0.2">
      <c r="A36" t="s">
        <v>13</v>
      </c>
      <c r="B36" t="s">
        <v>128</v>
      </c>
      <c r="C36">
        <v>-8.0420531000000003E-2</v>
      </c>
      <c r="D36">
        <v>-78.761599000000004</v>
      </c>
      <c r="E36" t="s">
        <v>15</v>
      </c>
      <c r="F36" t="s">
        <v>15</v>
      </c>
      <c r="G36">
        <v>1</v>
      </c>
      <c r="H36">
        <v>7.5</v>
      </c>
      <c r="I36">
        <v>18</v>
      </c>
      <c r="J36" t="s">
        <v>191</v>
      </c>
      <c r="K36" t="s">
        <v>201</v>
      </c>
      <c r="L36" t="s">
        <v>196</v>
      </c>
      <c r="M36" t="s">
        <v>134</v>
      </c>
      <c r="N36" t="s">
        <v>135</v>
      </c>
    </row>
    <row r="37" spans="1:14" x14ac:dyDescent="0.2">
      <c r="A37" t="s">
        <v>13</v>
      </c>
      <c r="B37" t="s">
        <v>128</v>
      </c>
      <c r="C37">
        <v>-8.0693400999999998E-2</v>
      </c>
      <c r="D37">
        <v>-78.762004000000005</v>
      </c>
      <c r="E37" t="s">
        <v>15</v>
      </c>
      <c r="F37" t="s">
        <v>15</v>
      </c>
      <c r="G37">
        <v>1</v>
      </c>
      <c r="H37">
        <v>4.7</v>
      </c>
      <c r="I37">
        <v>8.6999999999999993</v>
      </c>
      <c r="J37" t="s">
        <v>192</v>
      </c>
      <c r="K37" t="s">
        <v>201</v>
      </c>
      <c r="L37" t="s">
        <v>186</v>
      </c>
      <c r="M37" t="s">
        <v>138</v>
      </c>
      <c r="N37" t="s">
        <v>139</v>
      </c>
    </row>
    <row r="38" spans="1:14" x14ac:dyDescent="0.2">
      <c r="A38" t="s">
        <v>13</v>
      </c>
      <c r="B38" t="s">
        <v>128</v>
      </c>
      <c r="C38">
        <v>-8.0759399999999995E-2</v>
      </c>
      <c r="D38">
        <v>-78.762377999999998</v>
      </c>
      <c r="E38" t="s">
        <v>15</v>
      </c>
      <c r="F38" t="s">
        <v>15</v>
      </c>
      <c r="G38">
        <v>1</v>
      </c>
      <c r="H38">
        <v>5.7</v>
      </c>
      <c r="I38" t="s">
        <v>15</v>
      </c>
      <c r="J38" t="s">
        <v>15</v>
      </c>
      <c r="K38" t="s">
        <v>42</v>
      </c>
      <c r="L38" t="s">
        <v>186</v>
      </c>
      <c r="M38" t="s">
        <v>18</v>
      </c>
      <c r="N38" t="s">
        <v>140</v>
      </c>
    </row>
    <row r="39" spans="1:14" x14ac:dyDescent="0.2">
      <c r="A39" t="s">
        <v>13</v>
      </c>
      <c r="B39" t="s">
        <v>128</v>
      </c>
      <c r="C39">
        <v>-8.2197000000000006E-2</v>
      </c>
      <c r="D39">
        <v>-78.762286000000003</v>
      </c>
      <c r="E39" t="s">
        <v>15</v>
      </c>
      <c r="F39" t="s">
        <v>15</v>
      </c>
      <c r="G39">
        <v>1</v>
      </c>
      <c r="H39">
        <v>5</v>
      </c>
      <c r="I39" t="s">
        <v>15</v>
      </c>
      <c r="J39" t="s">
        <v>15</v>
      </c>
      <c r="K39" t="s">
        <v>42</v>
      </c>
      <c r="L39" t="s">
        <v>186</v>
      </c>
      <c r="M39" t="s">
        <v>18</v>
      </c>
      <c r="N39" t="s">
        <v>147</v>
      </c>
    </row>
    <row r="40" spans="1:14" x14ac:dyDescent="0.2">
      <c r="A40" t="s">
        <v>13</v>
      </c>
      <c r="B40" t="s">
        <v>128</v>
      </c>
      <c r="C40">
        <v>-8.2197000000000006E-2</v>
      </c>
      <c r="D40">
        <v>-78.762286000000003</v>
      </c>
      <c r="E40" t="s">
        <v>15</v>
      </c>
      <c r="F40" t="s">
        <v>15</v>
      </c>
      <c r="G40">
        <v>1</v>
      </c>
      <c r="H40">
        <v>10</v>
      </c>
      <c r="I40" t="s">
        <v>15</v>
      </c>
      <c r="J40" t="s">
        <v>15</v>
      </c>
      <c r="K40" t="s">
        <v>42</v>
      </c>
      <c r="L40" t="s">
        <v>186</v>
      </c>
      <c r="M40" t="s">
        <v>18</v>
      </c>
      <c r="N40" t="s">
        <v>147</v>
      </c>
    </row>
    <row r="41" spans="1:14" x14ac:dyDescent="0.2">
      <c r="A41" t="s">
        <v>13</v>
      </c>
      <c r="B41" t="s">
        <v>128</v>
      </c>
      <c r="C41">
        <v>-8.2197000000000006E-2</v>
      </c>
      <c r="D41">
        <v>-78.762286000000003</v>
      </c>
      <c r="E41" t="s">
        <v>15</v>
      </c>
      <c r="F41" t="s">
        <v>15</v>
      </c>
      <c r="G41">
        <v>1</v>
      </c>
      <c r="H41">
        <v>23</v>
      </c>
      <c r="I41" t="s">
        <v>15</v>
      </c>
      <c r="J41" t="s">
        <v>15</v>
      </c>
      <c r="K41" t="s">
        <v>42</v>
      </c>
      <c r="L41" t="s">
        <v>186</v>
      </c>
      <c r="M41" t="s">
        <v>18</v>
      </c>
      <c r="N41" t="s">
        <v>147</v>
      </c>
    </row>
    <row r="42" spans="1:14" x14ac:dyDescent="0.2">
      <c r="A42" t="s">
        <v>13</v>
      </c>
      <c r="B42" t="s">
        <v>128</v>
      </c>
      <c r="C42">
        <v>-8.2242999999999997E-2</v>
      </c>
      <c r="D42">
        <v>-78.762291000000005</v>
      </c>
      <c r="E42" t="s">
        <v>15</v>
      </c>
      <c r="F42" t="s">
        <v>15</v>
      </c>
      <c r="G42">
        <v>1</v>
      </c>
      <c r="H42">
        <v>4</v>
      </c>
      <c r="I42" t="s">
        <v>15</v>
      </c>
      <c r="J42" t="s">
        <v>15</v>
      </c>
      <c r="K42" t="s">
        <v>42</v>
      </c>
      <c r="L42" t="s">
        <v>203</v>
      </c>
      <c r="M42" t="s">
        <v>238</v>
      </c>
      <c r="N42" t="s">
        <v>147</v>
      </c>
    </row>
    <row r="43" spans="1:14" x14ac:dyDescent="0.2">
      <c r="A43" t="s">
        <v>13</v>
      </c>
      <c r="B43" t="s">
        <v>128</v>
      </c>
      <c r="C43">
        <v>-8.2242999999999997E-2</v>
      </c>
      <c r="D43">
        <v>-78.762291000000005</v>
      </c>
      <c r="E43" t="s">
        <v>15</v>
      </c>
      <c r="F43" t="s">
        <v>15</v>
      </c>
      <c r="G43">
        <v>1</v>
      </c>
      <c r="H43">
        <v>6.5</v>
      </c>
      <c r="I43" t="s">
        <v>15</v>
      </c>
      <c r="J43" t="s">
        <v>15</v>
      </c>
      <c r="K43" t="s">
        <v>42</v>
      </c>
      <c r="L43" t="s">
        <v>203</v>
      </c>
      <c r="M43" t="s">
        <v>238</v>
      </c>
      <c r="N43" t="s">
        <v>147</v>
      </c>
    </row>
    <row r="44" spans="1:14" x14ac:dyDescent="0.2">
      <c r="A44" t="s">
        <v>13</v>
      </c>
      <c r="B44" t="s">
        <v>128</v>
      </c>
      <c r="C44">
        <v>-8.5842000000000002E-2</v>
      </c>
      <c r="D44">
        <v>-78.761954000000003</v>
      </c>
      <c r="E44" t="s">
        <v>15</v>
      </c>
      <c r="F44" t="s">
        <v>15</v>
      </c>
      <c r="G44">
        <v>1</v>
      </c>
      <c r="H44" t="s">
        <v>15</v>
      </c>
      <c r="I44" t="s">
        <v>15</v>
      </c>
      <c r="J44" t="s">
        <v>15</v>
      </c>
      <c r="K44" t="s">
        <v>42</v>
      </c>
      <c r="L44" t="s">
        <v>186</v>
      </c>
      <c r="M44" t="s">
        <v>18</v>
      </c>
      <c r="N44" t="s">
        <v>154</v>
      </c>
    </row>
    <row r="45" spans="1:14" x14ac:dyDescent="0.2">
      <c r="A45" t="s">
        <v>13</v>
      </c>
      <c r="B45" t="s">
        <v>128</v>
      </c>
      <c r="C45">
        <v>-8.5921999999999998E-2</v>
      </c>
      <c r="D45">
        <v>-78.761849999999995</v>
      </c>
      <c r="E45" t="s">
        <v>15</v>
      </c>
      <c r="F45" t="s">
        <v>15</v>
      </c>
      <c r="G45">
        <v>1</v>
      </c>
      <c r="H45">
        <v>3.9</v>
      </c>
      <c r="I45" t="s">
        <v>15</v>
      </c>
      <c r="J45" t="s">
        <v>15</v>
      </c>
      <c r="K45" t="s">
        <v>42</v>
      </c>
      <c r="L45" t="s">
        <v>186</v>
      </c>
      <c r="M45" t="s">
        <v>18</v>
      </c>
      <c r="N45" t="s">
        <v>155</v>
      </c>
    </row>
    <row r="46" spans="1:14" x14ac:dyDescent="0.2">
      <c r="A46" t="s">
        <v>13</v>
      </c>
      <c r="B46" t="s">
        <v>128</v>
      </c>
      <c r="C46">
        <v>-8.5921999999999998E-2</v>
      </c>
      <c r="D46">
        <v>-78.761849999999995</v>
      </c>
      <c r="E46" t="s">
        <v>15</v>
      </c>
      <c r="F46" t="s">
        <v>15</v>
      </c>
      <c r="G46">
        <v>1</v>
      </c>
      <c r="H46">
        <v>4.5999999999999996</v>
      </c>
      <c r="I46" t="s">
        <v>15</v>
      </c>
      <c r="J46" t="s">
        <v>15</v>
      </c>
      <c r="K46" t="s">
        <v>42</v>
      </c>
      <c r="L46" t="s">
        <v>186</v>
      </c>
      <c r="M46" t="s">
        <v>18</v>
      </c>
      <c r="N46" t="s">
        <v>155</v>
      </c>
    </row>
    <row r="47" spans="1:14" x14ac:dyDescent="0.2">
      <c r="A47" t="s">
        <v>13</v>
      </c>
      <c r="B47" t="s">
        <v>156</v>
      </c>
      <c r="C47">
        <v>-0.59706979999999998</v>
      </c>
      <c r="D47">
        <v>-77.894572999999994</v>
      </c>
      <c r="E47" t="s">
        <v>15</v>
      </c>
      <c r="F47" t="s">
        <v>15</v>
      </c>
      <c r="G47">
        <v>1</v>
      </c>
      <c r="H47">
        <v>3</v>
      </c>
      <c r="I47" t="s">
        <v>15</v>
      </c>
      <c r="J47" t="s">
        <v>15</v>
      </c>
      <c r="K47" t="s">
        <v>157</v>
      </c>
      <c r="L47" t="s">
        <v>186</v>
      </c>
      <c r="M47" t="s">
        <v>239</v>
      </c>
      <c r="N47" t="s">
        <v>158</v>
      </c>
    </row>
    <row r="48" spans="1:14" x14ac:dyDescent="0.2">
      <c r="A48" t="s">
        <v>13</v>
      </c>
      <c r="B48" t="s">
        <v>156</v>
      </c>
      <c r="C48">
        <v>-0.59556880000000001</v>
      </c>
      <c r="D48">
        <v>-77.894056000000006</v>
      </c>
      <c r="E48" t="s">
        <v>15</v>
      </c>
      <c r="F48" t="s">
        <v>15</v>
      </c>
      <c r="G48">
        <v>1</v>
      </c>
      <c r="H48" t="s">
        <v>15</v>
      </c>
      <c r="I48" t="s">
        <v>15</v>
      </c>
      <c r="J48" t="s">
        <v>15</v>
      </c>
      <c r="K48" t="s">
        <v>157</v>
      </c>
      <c r="L48" t="s">
        <v>186</v>
      </c>
      <c r="M48" t="s">
        <v>239</v>
      </c>
      <c r="N48" t="s">
        <v>159</v>
      </c>
    </row>
    <row r="49" spans="1:14" x14ac:dyDescent="0.2">
      <c r="A49" t="s">
        <v>13</v>
      </c>
      <c r="B49" t="s">
        <v>156</v>
      </c>
      <c r="C49">
        <v>-0.59583419999999998</v>
      </c>
      <c r="D49">
        <v>-77.894057000000004</v>
      </c>
      <c r="E49" t="s">
        <v>15</v>
      </c>
      <c r="F49" t="s">
        <v>15</v>
      </c>
      <c r="G49">
        <v>1</v>
      </c>
      <c r="H49">
        <v>2</v>
      </c>
      <c r="I49" t="s">
        <v>15</v>
      </c>
      <c r="J49" t="s">
        <v>15</v>
      </c>
      <c r="K49" t="s">
        <v>157</v>
      </c>
      <c r="L49" t="s">
        <v>186</v>
      </c>
      <c r="M49" t="s">
        <v>239</v>
      </c>
      <c r="N49" t="s">
        <v>160</v>
      </c>
    </row>
    <row r="50" spans="1:14" x14ac:dyDescent="0.2">
      <c r="A50" t="s">
        <v>13</v>
      </c>
      <c r="B50" t="s">
        <v>156</v>
      </c>
      <c r="C50">
        <v>-0.59583419999999998</v>
      </c>
      <c r="D50">
        <v>-77.894057000000004</v>
      </c>
      <c r="E50" t="s">
        <v>15</v>
      </c>
      <c r="F50" t="s">
        <v>15</v>
      </c>
      <c r="G50">
        <v>1</v>
      </c>
      <c r="H50">
        <v>30</v>
      </c>
      <c r="I50" t="s">
        <v>15</v>
      </c>
      <c r="J50" t="s">
        <v>15</v>
      </c>
      <c r="K50" t="s">
        <v>157</v>
      </c>
      <c r="L50" t="s">
        <v>186</v>
      </c>
      <c r="M50" t="s">
        <v>239</v>
      </c>
      <c r="N50" t="s">
        <v>160</v>
      </c>
    </row>
    <row r="51" spans="1:14" x14ac:dyDescent="0.2">
      <c r="A51" t="s">
        <v>13</v>
      </c>
      <c r="B51" t="s">
        <v>156</v>
      </c>
      <c r="C51">
        <v>-0.59583419999999998</v>
      </c>
      <c r="D51">
        <v>-77.894057000000004</v>
      </c>
      <c r="E51" t="s">
        <v>15</v>
      </c>
      <c r="F51" t="s">
        <v>15</v>
      </c>
      <c r="G51">
        <v>1</v>
      </c>
      <c r="H51">
        <v>15</v>
      </c>
      <c r="I51" t="s">
        <v>15</v>
      </c>
      <c r="J51" t="s">
        <v>15</v>
      </c>
      <c r="K51" t="s">
        <v>157</v>
      </c>
      <c r="L51" t="s">
        <v>186</v>
      </c>
      <c r="M51" t="s">
        <v>239</v>
      </c>
      <c r="N51" t="s">
        <v>160</v>
      </c>
    </row>
    <row r="52" spans="1:14" x14ac:dyDescent="0.2">
      <c r="A52" t="s">
        <v>13</v>
      </c>
      <c r="B52" t="s">
        <v>156</v>
      </c>
      <c r="C52">
        <v>-0.59583419999999998</v>
      </c>
      <c r="D52">
        <v>-77.894057000000004</v>
      </c>
      <c r="E52" t="s">
        <v>15</v>
      </c>
      <c r="F52" t="s">
        <v>15</v>
      </c>
      <c r="G52">
        <v>1</v>
      </c>
      <c r="H52">
        <v>2</v>
      </c>
      <c r="I52" t="s">
        <v>15</v>
      </c>
      <c r="J52" t="s">
        <v>15</v>
      </c>
      <c r="K52" t="s">
        <v>157</v>
      </c>
      <c r="L52" t="s">
        <v>186</v>
      </c>
      <c r="M52" t="s">
        <v>239</v>
      </c>
      <c r="N52" t="s">
        <v>160</v>
      </c>
    </row>
    <row r="53" spans="1:14" x14ac:dyDescent="0.2">
      <c r="A53" t="s">
        <v>13</v>
      </c>
      <c r="B53" t="s">
        <v>156</v>
      </c>
      <c r="C53">
        <v>-0.59583419999999998</v>
      </c>
      <c r="D53">
        <v>-77.894057000000004</v>
      </c>
      <c r="E53" t="s">
        <v>15</v>
      </c>
      <c r="F53" t="s">
        <v>15</v>
      </c>
      <c r="G53">
        <v>1</v>
      </c>
      <c r="H53">
        <v>3</v>
      </c>
      <c r="I53" t="s">
        <v>15</v>
      </c>
      <c r="J53" t="s">
        <v>15</v>
      </c>
      <c r="K53" t="s">
        <v>157</v>
      </c>
      <c r="L53" t="s">
        <v>186</v>
      </c>
      <c r="M53" t="s">
        <v>239</v>
      </c>
      <c r="N53" t="s">
        <v>160</v>
      </c>
    </row>
    <row r="54" spans="1:14" x14ac:dyDescent="0.2">
      <c r="A54" t="s">
        <v>13</v>
      </c>
      <c r="B54" t="s">
        <v>156</v>
      </c>
      <c r="C54">
        <v>-0.59192920000000004</v>
      </c>
      <c r="D54">
        <v>-77.890810999999999</v>
      </c>
      <c r="E54" t="s">
        <v>15</v>
      </c>
      <c r="F54" t="s">
        <v>15</v>
      </c>
      <c r="G54">
        <v>1</v>
      </c>
      <c r="H54">
        <v>1</v>
      </c>
      <c r="I54" t="s">
        <v>15</v>
      </c>
      <c r="J54" t="s">
        <v>15</v>
      </c>
      <c r="K54" t="s">
        <v>157</v>
      </c>
      <c r="L54" t="s">
        <v>186</v>
      </c>
      <c r="M54" t="s">
        <v>239</v>
      </c>
      <c r="N54" t="s">
        <v>161</v>
      </c>
    </row>
    <row r="55" spans="1:14" x14ac:dyDescent="0.2">
      <c r="A55" t="s">
        <v>13</v>
      </c>
      <c r="B55" t="s">
        <v>156</v>
      </c>
      <c r="C55">
        <v>-0.59192920000000004</v>
      </c>
      <c r="D55">
        <v>-77.890810999999999</v>
      </c>
      <c r="E55" t="s">
        <v>15</v>
      </c>
      <c r="F55" t="s">
        <v>15</v>
      </c>
      <c r="G55">
        <v>1</v>
      </c>
      <c r="H55">
        <v>2</v>
      </c>
      <c r="I55" t="s">
        <v>15</v>
      </c>
      <c r="J55" t="s">
        <v>15</v>
      </c>
      <c r="K55" t="s">
        <v>157</v>
      </c>
      <c r="L55" t="s">
        <v>186</v>
      </c>
      <c r="M55" t="s">
        <v>239</v>
      </c>
      <c r="N55" t="s">
        <v>161</v>
      </c>
    </row>
    <row r="56" spans="1:14" x14ac:dyDescent="0.2">
      <c r="A56" t="s">
        <v>13</v>
      </c>
      <c r="B56" t="s">
        <v>156</v>
      </c>
      <c r="C56">
        <v>-0.59192920000000004</v>
      </c>
      <c r="D56">
        <v>-77.890810999999999</v>
      </c>
      <c r="E56" t="s">
        <v>15</v>
      </c>
      <c r="F56" t="s">
        <v>15</v>
      </c>
      <c r="G56">
        <v>1</v>
      </c>
      <c r="H56">
        <v>6</v>
      </c>
      <c r="I56" t="s">
        <v>15</v>
      </c>
      <c r="J56" t="s">
        <v>15</v>
      </c>
      <c r="K56" t="s">
        <v>157</v>
      </c>
      <c r="L56" t="s">
        <v>186</v>
      </c>
      <c r="M56" t="s">
        <v>239</v>
      </c>
      <c r="N56" t="s">
        <v>161</v>
      </c>
    </row>
    <row r="57" spans="1:14" x14ac:dyDescent="0.2">
      <c r="A57" t="s">
        <v>13</v>
      </c>
      <c r="B57" t="s">
        <v>156</v>
      </c>
      <c r="C57">
        <v>-0.59192920000000004</v>
      </c>
      <c r="D57">
        <v>-77.890810999999999</v>
      </c>
      <c r="E57" t="s">
        <v>15</v>
      </c>
      <c r="F57" t="s">
        <v>15</v>
      </c>
      <c r="G57">
        <v>1</v>
      </c>
      <c r="H57">
        <v>22</v>
      </c>
      <c r="I57" t="s">
        <v>15</v>
      </c>
      <c r="J57" t="s">
        <v>15</v>
      </c>
      <c r="K57" t="s">
        <v>157</v>
      </c>
      <c r="L57" t="s">
        <v>186</v>
      </c>
      <c r="M57" t="s">
        <v>239</v>
      </c>
      <c r="N57" t="s">
        <v>161</v>
      </c>
    </row>
    <row r="58" spans="1:14" x14ac:dyDescent="0.2">
      <c r="A58" t="s">
        <v>13</v>
      </c>
      <c r="B58" t="s">
        <v>156</v>
      </c>
      <c r="C58">
        <v>-0.59862110000000002</v>
      </c>
      <c r="D58">
        <v>-77.894486000000001</v>
      </c>
      <c r="E58" t="s">
        <v>15</v>
      </c>
      <c r="F58" t="s">
        <v>15</v>
      </c>
      <c r="G58">
        <v>1</v>
      </c>
      <c r="H58">
        <v>5</v>
      </c>
      <c r="I58" t="s">
        <v>15</v>
      </c>
      <c r="J58" t="s">
        <v>15</v>
      </c>
      <c r="K58" t="s">
        <v>157</v>
      </c>
      <c r="L58" t="s">
        <v>186</v>
      </c>
      <c r="M58" t="s">
        <v>239</v>
      </c>
      <c r="N58" t="s">
        <v>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18A4-C740-0D4A-B3CB-7FBFC19C5635}">
  <dimension ref="A1"/>
  <sheetViews>
    <sheetView workbookViewId="0">
      <selection sqref="A1:A26"/>
    </sheetView>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combinedv2</vt:lpstr>
      <vt:lpstr>combinedv3</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Lizeth Estévez Tobar</dc:creator>
  <cp:lastModifiedBy>Lizeth Estévez Tobar</cp:lastModifiedBy>
  <dcterms:created xsi:type="dcterms:W3CDTF">2026-05-05T12:46:02Z</dcterms:created>
  <dcterms:modified xsi:type="dcterms:W3CDTF">2026-05-05T13:23:25Z</dcterms:modified>
</cp:coreProperties>
</file>